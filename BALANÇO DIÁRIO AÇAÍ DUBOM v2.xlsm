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3029d4701c4e98c/Documentos/Projetos Excel/Balanço Açai Dubom/"/>
    </mc:Choice>
  </mc:AlternateContent>
  <xr:revisionPtr revIDLastSave="78" documentId="8_{29828A4D-3CEC-4837-9D01-7F9D6C492A8D}" xr6:coauthVersionLast="47" xr6:coauthVersionMax="47" xr10:uidLastSave="{A9D2065C-7233-4AD1-875C-F734BE796998}"/>
  <bookViews>
    <workbookView xWindow="-120" yWindow="-120" windowWidth="20730" windowHeight="11760" activeTab="1" xr2:uid="{0538FE03-0877-4AE5-A3EB-68D8A1E1F77C}"/>
  </bookViews>
  <sheets>
    <sheet name="Dados" sheetId="6" r:id="rId1"/>
    <sheet name="DashBoard" sheetId="7" r:id="rId2"/>
    <sheet name="Comandas" sheetId="1" r:id="rId3"/>
    <sheet name="Combos" sheetId="3" r:id="rId4"/>
    <sheet name="CPU" sheetId="4" r:id="rId5"/>
  </sheets>
  <functionGroups builtInGroupCount="19"/>
  <definedNames>
    <definedName name="_xlcn.WorksheetConnection_BALANÇODIÁRIOAÇAÍDUBOMv2.xlsmtb_Comandas1" hidden="1">tb_Comandas[]</definedName>
    <definedName name="Adicional">tb_Comandas[[#Headers],[Adicional]]</definedName>
    <definedName name="BaseDash">Dados!#REF!</definedName>
    <definedName name="CATEGORIA">tb_Comandas[[#Headers],[Categoria]]</definedName>
    <definedName name="NComanda" localSheetId="3">Combos!#REF!</definedName>
    <definedName name="NComanda">Comandas!$E$2</definedName>
    <definedName name="OBS" localSheetId="3">Combos!#REF!</definedName>
    <definedName name="OBS">Comandas!$E$55</definedName>
  </definedNames>
  <calcPr calcId="191028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_Comandas" name="tb_Comandas" connection="WorksheetConnection_BALANÇO DIÁRIO AÇAÍ DUBOM v2.xlsm!tb_Comandas"/>
        </x15:modelTables>
      </x15:dataModel>
    </ext>
  </extLst>
</workbook>
</file>

<file path=xl/calcChain.xml><?xml version="1.0" encoding="utf-8"?>
<calcChain xmlns="http://schemas.openxmlformats.org/spreadsheetml/2006/main">
  <c r="N12" i="6" l="1"/>
  <c r="AP54" i="1"/>
  <c r="E11" i="6"/>
  <c r="AP53" i="1"/>
  <c r="K4" i="6"/>
  <c r="AP52" i="1"/>
  <c r="K5" i="6"/>
  <c r="AP51" i="1"/>
  <c r="K6" i="6"/>
  <c r="AP50" i="1"/>
  <c r="K8" i="6"/>
  <c r="AP49" i="1"/>
  <c r="K7" i="6"/>
  <c r="AP48" i="1"/>
  <c r="AP47" i="1"/>
  <c r="AP46" i="1"/>
  <c r="AP45" i="1"/>
  <c r="AP44" i="1"/>
  <c r="AP43" i="1"/>
  <c r="AP42" i="1"/>
  <c r="AP41" i="1"/>
  <c r="AP40" i="1"/>
  <c r="AP39" i="1"/>
  <c r="AP38" i="1"/>
  <c r="AP37" i="1"/>
  <c r="AP36" i="1"/>
  <c r="AP35" i="1"/>
  <c r="AP34" i="1"/>
  <c r="AP33" i="1"/>
  <c r="AP32" i="1"/>
  <c r="AP31" i="1"/>
  <c r="AP30" i="1"/>
  <c r="AP29" i="1"/>
  <c r="AP28" i="1"/>
  <c r="AP27" i="1"/>
  <c r="AP26" i="1"/>
  <c r="AP25" i="1"/>
  <c r="AP24" i="1"/>
  <c r="AP23" i="1"/>
  <c r="AP22" i="1"/>
  <c r="AP21" i="1"/>
  <c r="AP20" i="1"/>
  <c r="AP19" i="1"/>
  <c r="AP18" i="1"/>
  <c r="AP17" i="1"/>
  <c r="AP16" i="1"/>
  <c r="AP15" i="1"/>
  <c r="AP14" i="1"/>
  <c r="AP13" i="1"/>
  <c r="AP12" i="1"/>
  <c r="AP11" i="1"/>
  <c r="AP10" i="1"/>
  <c r="AP9" i="1"/>
  <c r="AP8" i="1"/>
  <c r="AP7" i="1"/>
  <c r="AP6" i="1"/>
  <c r="AP5" i="1"/>
  <c r="E14" i="6"/>
  <c r="E12" i="6"/>
  <c r="E31" i="6"/>
  <c r="E30" i="6"/>
  <c r="E24" i="6"/>
  <c r="E25" i="6"/>
  <c r="E15" i="6"/>
  <c r="E22" i="6"/>
  <c r="E21" i="6"/>
  <c r="E9" i="6"/>
  <c r="E29" i="6"/>
  <c r="E13" i="6"/>
  <c r="E23" i="6"/>
  <c r="E20" i="6"/>
  <c r="E7" i="6"/>
  <c r="E28" i="6"/>
  <c r="E26" i="6"/>
  <c r="E17" i="6"/>
  <c r="E18" i="6"/>
  <c r="E4" i="6"/>
  <c r="E5" i="6"/>
  <c r="E6" i="6"/>
  <c r="E27" i="6"/>
  <c r="E10" i="6"/>
  <c r="E8" i="6"/>
  <c r="E19" i="6"/>
  <c r="E16" i="6"/>
  <c r="N7" i="6"/>
  <c r="N6" i="6"/>
  <c r="N5" i="6"/>
  <c r="N4" i="6"/>
  <c r="N13" i="6"/>
  <c r="O5" i="6"/>
  <c r="O4" i="6"/>
  <c r="O7" i="6"/>
  <c r="O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BALANÇO DIÁRIO AÇAÍ DUBOM v2.xlsm!tb_Comandas" type="102" refreshedVersion="7" minRefreshableVersion="5">
    <extLst>
      <ext xmlns:x15="http://schemas.microsoft.com/office/spreadsheetml/2010/11/main" uri="{DE250136-89BD-433C-8126-D09CA5730AF9}">
        <x15:connection id="tb_Comandas" autoDelete="1">
          <x15:rangePr sourceName="_xlcn.WorksheetConnection_BALANÇODIÁRIOAÇAÍDUBOMv2.xlsmtb_Comandas1"/>
        </x15:connection>
      </ext>
    </extLst>
  </connection>
</connections>
</file>

<file path=xl/sharedStrings.xml><?xml version="1.0" encoding="utf-8"?>
<sst xmlns="http://schemas.openxmlformats.org/spreadsheetml/2006/main" count="591" uniqueCount="212">
  <si>
    <t>Categoria</t>
  </si>
  <si>
    <t>Adicional</t>
  </si>
  <si>
    <t>Tamanho</t>
  </si>
  <si>
    <t>Nº Comanda</t>
  </si>
  <si>
    <t>Abacaxi</t>
  </si>
  <si>
    <t>Banana</t>
  </si>
  <si>
    <t>FRUTAS</t>
  </si>
  <si>
    <t>Manga</t>
  </si>
  <si>
    <t>Morango</t>
  </si>
  <si>
    <t>Beijinho</t>
  </si>
  <si>
    <t>Brigadeiro</t>
  </si>
  <si>
    <t>DERIVADOS DO LEITE</t>
  </si>
  <si>
    <t>Sorvete</t>
  </si>
  <si>
    <t>Aveia</t>
  </si>
  <si>
    <t>CEREAIS</t>
  </si>
  <si>
    <t>Granola</t>
  </si>
  <si>
    <t>Sucrilhos</t>
  </si>
  <si>
    <t>Batom</t>
  </si>
  <si>
    <t>Disquete</t>
  </si>
  <si>
    <t>KitKat</t>
  </si>
  <si>
    <t>Ovomaltine</t>
  </si>
  <si>
    <t>Diamante Negro</t>
  </si>
  <si>
    <t>Granulado</t>
  </si>
  <si>
    <t>Oreo</t>
  </si>
  <si>
    <t>CHOCOLATES</t>
  </si>
  <si>
    <t>Ouro Branco</t>
  </si>
  <si>
    <t>Sonho de Valsa</t>
  </si>
  <si>
    <t>Chokito</t>
  </si>
  <si>
    <t>Prestigio</t>
  </si>
  <si>
    <t>Bis</t>
  </si>
  <si>
    <t>Nutella</t>
  </si>
  <si>
    <t>Laka</t>
  </si>
  <si>
    <t>Mel</t>
  </si>
  <si>
    <t>DIVERSOS</t>
  </si>
  <si>
    <t>Paçoca</t>
  </si>
  <si>
    <t>COBERTURAS</t>
  </si>
  <si>
    <t>FORMA DE PAGAMENTO</t>
  </si>
  <si>
    <t>Dinheiro</t>
  </si>
  <si>
    <t>Cartão</t>
  </si>
  <si>
    <t>Online</t>
  </si>
  <si>
    <t>PIX</t>
  </si>
  <si>
    <t>S. Forma</t>
  </si>
  <si>
    <t>LOCAL</t>
  </si>
  <si>
    <t>Bairro</t>
  </si>
  <si>
    <t>Total</t>
  </si>
  <si>
    <t>INFO            OBRIGATÓRIAS</t>
  </si>
  <si>
    <t>OBSERVAÇÃO</t>
  </si>
  <si>
    <t>Açaí Puro</t>
  </si>
  <si>
    <t>Clássico</t>
  </si>
  <si>
    <t>Doce Paixão</t>
  </si>
  <si>
    <t>DuBom</t>
  </si>
  <si>
    <t>Explosão</t>
  </si>
  <si>
    <t>Mix Tropical</t>
  </si>
  <si>
    <t>Tentação</t>
  </si>
  <si>
    <t>Trufado</t>
  </si>
  <si>
    <t>Baton</t>
  </si>
  <si>
    <t>Fit</t>
  </si>
  <si>
    <t>Irresistível</t>
  </si>
  <si>
    <t>Liberdade</t>
  </si>
  <si>
    <t>Tamanhos</t>
  </si>
  <si>
    <t>300 mL</t>
  </si>
  <si>
    <t>500 mL</t>
  </si>
  <si>
    <t>700 mL</t>
  </si>
  <si>
    <t>1 L</t>
  </si>
  <si>
    <t>Forma de Pagamento</t>
  </si>
  <si>
    <t>Combo</t>
  </si>
  <si>
    <t>Acácias</t>
  </si>
  <si>
    <t>Água Santa</t>
  </si>
  <si>
    <t>Aparecida</t>
  </si>
  <si>
    <t>Bela Vista</t>
  </si>
  <si>
    <t>Bounganville</t>
  </si>
  <si>
    <t>Boungaville 2</t>
  </si>
  <si>
    <t>Bourbon</t>
  </si>
  <si>
    <t>Buração</t>
  </si>
  <si>
    <t>Buritis</t>
  </si>
  <si>
    <t>Centro</t>
  </si>
  <si>
    <t>Cidade Jardim</t>
  </si>
  <si>
    <t>Cidade Nova</t>
  </si>
  <si>
    <t>Esplanada</t>
  </si>
  <si>
    <t>Grajaú</t>
  </si>
  <si>
    <t>Jardim Aeroporto</t>
  </si>
  <si>
    <t>Jardim Imperial</t>
  </si>
  <si>
    <t>Maria Lúcia</t>
  </si>
  <si>
    <t>Morada Nova</t>
  </si>
  <si>
    <t>Nações</t>
  </si>
  <si>
    <t>Piedade</t>
  </si>
  <si>
    <t>Planalto</t>
  </si>
  <si>
    <t>Residencial Água Santa</t>
  </si>
  <si>
    <t>Residencial Alvorada</t>
  </si>
  <si>
    <t>São Geraldo</t>
  </si>
  <si>
    <t>Sub-Estação</t>
  </si>
  <si>
    <t>Vila Operária</t>
  </si>
  <si>
    <t>Villa Romana</t>
  </si>
  <si>
    <t>Vista Alegre</t>
  </si>
  <si>
    <t>Categorias</t>
  </si>
  <si>
    <t>Nomes CPU</t>
  </si>
  <si>
    <t>abacaxi</t>
  </si>
  <si>
    <t>manga</t>
  </si>
  <si>
    <t>coco_em_flocos</t>
  </si>
  <si>
    <t>banana</t>
  </si>
  <si>
    <t>morango</t>
  </si>
  <si>
    <t>sorvete</t>
  </si>
  <si>
    <t>mousse_de_morango</t>
  </si>
  <si>
    <t>mousse_de_maracujá</t>
  </si>
  <si>
    <t>mousse_de_limão</t>
  </si>
  <si>
    <t>leite_em_pó</t>
  </si>
  <si>
    <t>leite_condensado</t>
  </si>
  <si>
    <t>brigadeiro</t>
  </si>
  <si>
    <t>beijinho</t>
  </si>
  <si>
    <t>sucrilhos</t>
  </si>
  <si>
    <t>granola</t>
  </si>
  <si>
    <t>farinha_láctea</t>
  </si>
  <si>
    <t>aveia</t>
  </si>
  <si>
    <t>whey_protein</t>
  </si>
  <si>
    <t>mel</t>
  </si>
  <si>
    <t>calda_de_caramelo</t>
  </si>
  <si>
    <t>calda_de_morango</t>
  </si>
  <si>
    <t>calda_de_chocolate</t>
  </si>
  <si>
    <t>power_ball</t>
  </si>
  <si>
    <t>laka</t>
  </si>
  <si>
    <t>nutella</t>
  </si>
  <si>
    <t>bis</t>
  </si>
  <si>
    <t>sonho_de_valsa</t>
  </si>
  <si>
    <t>raspas_de_chocolate</t>
  </si>
  <si>
    <t>ouro_branco</t>
  </si>
  <si>
    <t>gotas_de_chocolate</t>
  </si>
  <si>
    <t>diamante_negro</t>
  </si>
  <si>
    <t>ovomaltine</t>
  </si>
  <si>
    <t>kitkat</t>
  </si>
  <si>
    <t>disquete</t>
  </si>
  <si>
    <t>batom</t>
  </si>
  <si>
    <t>mousse_de_chocolate</t>
  </si>
  <si>
    <t>prestigio</t>
  </si>
  <si>
    <t>chokito</t>
  </si>
  <si>
    <t>nescau_cereal</t>
  </si>
  <si>
    <t>oreo</t>
  </si>
  <si>
    <t>granulado</t>
  </si>
  <si>
    <t>creme_de_morango</t>
  </si>
  <si>
    <t>trufa_de_chocolate</t>
  </si>
  <si>
    <t>Nomes Comanda</t>
  </si>
  <si>
    <t>Kitkat</t>
  </si>
  <si>
    <t>Coco em flocos</t>
  </si>
  <si>
    <t>Mousse de morango</t>
  </si>
  <si>
    <t>Mousse de maracujá</t>
  </si>
  <si>
    <t>Mousse de limão</t>
  </si>
  <si>
    <t>Leite em pó</t>
  </si>
  <si>
    <t>Leite condensado</t>
  </si>
  <si>
    <t>Farinha láctea</t>
  </si>
  <si>
    <t>Whey protein</t>
  </si>
  <si>
    <t>Calda de caramelo</t>
  </si>
  <si>
    <t>Calda de morango</t>
  </si>
  <si>
    <t>Calda de chocolate</t>
  </si>
  <si>
    <t>Power ball</t>
  </si>
  <si>
    <t>Sonho de valsa</t>
  </si>
  <si>
    <t>Raspas de chocolate</t>
  </si>
  <si>
    <t>Ouro branco</t>
  </si>
  <si>
    <t>Gotas de chocolate</t>
  </si>
  <si>
    <t>Diamante negro</t>
  </si>
  <si>
    <t>Mousse de chocolate</t>
  </si>
  <si>
    <t>Nescau cereal</t>
  </si>
  <si>
    <t>Creme de morango</t>
  </si>
  <si>
    <t>Trufa de chocolate</t>
  </si>
  <si>
    <t>Farinha lactea</t>
  </si>
  <si>
    <t>paçoca</t>
  </si>
  <si>
    <t>Calda de Chocolate</t>
  </si>
  <si>
    <t>CLASSES</t>
  </si>
  <si>
    <t>Combos</t>
  </si>
  <si>
    <t>Adicionais</t>
  </si>
  <si>
    <t>Rótulos de Linha</t>
  </si>
  <si>
    <t>Total Geral</t>
  </si>
  <si>
    <t>Soma de Total</t>
  </si>
  <si>
    <t>DuBom2</t>
  </si>
  <si>
    <t>Açaí Puro2</t>
  </si>
  <si>
    <t>Açaí Puro3</t>
  </si>
  <si>
    <t>Clássico2</t>
  </si>
  <si>
    <t>Irresistível2</t>
  </si>
  <si>
    <t>Fim2</t>
  </si>
  <si>
    <t>mvmbvm</t>
  </si>
  <si>
    <t>Açaí Puro4</t>
  </si>
  <si>
    <t>Açaí Puro5</t>
  </si>
  <si>
    <t>Açaí Puro6</t>
  </si>
  <si>
    <t>Açaí Puro7</t>
  </si>
  <si>
    <t>Felipe</t>
  </si>
  <si>
    <t>Baton2</t>
  </si>
  <si>
    <t>NUnes</t>
  </si>
  <si>
    <t>Baton3</t>
  </si>
  <si>
    <t>Soares</t>
  </si>
  <si>
    <t>FORMAPAGAMENTO</t>
  </si>
  <si>
    <t>TOTAL</t>
  </si>
  <si>
    <t>DuBom3</t>
  </si>
  <si>
    <t>Felipe Lindo</t>
  </si>
  <si>
    <t>fELOE</t>
  </si>
  <si>
    <t>DuBom4</t>
  </si>
  <si>
    <t>Diamante Negro2</t>
  </si>
  <si>
    <t>Irresistível3</t>
  </si>
  <si>
    <t>Irresistível4</t>
  </si>
  <si>
    <t>Irresistível5</t>
  </si>
  <si>
    <t>Irresistível6</t>
  </si>
  <si>
    <t>Nivel</t>
  </si>
  <si>
    <t>Meta</t>
  </si>
  <si>
    <t>Ruim</t>
  </si>
  <si>
    <t>Bom</t>
  </si>
  <si>
    <t>Otimo</t>
  </si>
  <si>
    <t>Exelente</t>
  </si>
  <si>
    <t>%</t>
  </si>
  <si>
    <t>Valores</t>
  </si>
  <si>
    <t>Ponteiro</t>
  </si>
  <si>
    <t>Valor</t>
  </si>
  <si>
    <t>Resto</t>
  </si>
  <si>
    <t>Coluna19</t>
  </si>
  <si>
    <t>Alterar o profitDaily da meta para % e conseguir selecionar a quantidade no velocimetro</t>
  </si>
  <si>
    <t>1100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</si>
</sst>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7" formatCode="&quot;R$&quot;\ #,##0.00;\-&quot;R$&quot;\ #,##0.00"/>
    <numFmt numFmtId="44" formatCode="_-&quot;R$&quot;\ * #,##0.00_-;\-&quot;R$&quot;\ * #,##0.00_-;_-&quot;R$&quot;\ * &quot;-&quot;??_-;_-@_-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EFFF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EFFF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57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3" xfId="0" applyFill="1" applyBorder="1"/>
    <xf numFmtId="0" fontId="0" fillId="2" borderId="2" xfId="0" applyFill="1" applyBorder="1" applyAlignment="1">
      <alignment horizontal="center"/>
    </xf>
    <xf numFmtId="0" fontId="0" fillId="2" borderId="2" xfId="0" applyFill="1" applyBorder="1"/>
    <xf numFmtId="0" fontId="0" fillId="2" borderId="4" xfId="0" applyFill="1" applyBorder="1" applyAlignment="1">
      <alignment horizontal="center"/>
    </xf>
    <xf numFmtId="0" fontId="0" fillId="2" borderId="4" xfId="0" applyFill="1" applyBorder="1"/>
    <xf numFmtId="0" fontId="1" fillId="2" borderId="5" xfId="0" applyFont="1" applyFill="1" applyBorder="1" applyAlignment="1">
      <alignment horizontal="center"/>
    </xf>
    <xf numFmtId="0" fontId="1" fillId="2" borderId="5" xfId="0" applyFont="1" applyFill="1" applyBorder="1"/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0" fillId="2" borderId="7" xfId="0" applyFill="1" applyBorder="1"/>
    <xf numFmtId="0" fontId="1" fillId="2" borderId="6" xfId="0" applyFont="1" applyFill="1" applyBorder="1" applyAlignment="1"/>
    <xf numFmtId="0" fontId="3" fillId="2" borderId="7" xfId="0" quotePrefix="1" applyFont="1" applyFill="1" applyBorder="1"/>
    <xf numFmtId="0" fontId="0" fillId="2" borderId="6" xfId="0" applyFill="1" applyBorder="1"/>
    <xf numFmtId="0" fontId="0" fillId="2" borderId="3" xfId="0" applyFont="1" applyFill="1" applyBorder="1"/>
    <xf numFmtId="0" fontId="0" fillId="2" borderId="8" xfId="0" applyFill="1" applyBorder="1"/>
    <xf numFmtId="0" fontId="0" fillId="2" borderId="2" xfId="0" applyFont="1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9" xfId="0" applyFill="1" applyBorder="1" applyAlignment="1">
      <alignment vertical="center"/>
    </xf>
    <xf numFmtId="0" fontId="0" fillId="2" borderId="5" xfId="0" applyFill="1" applyBorder="1"/>
    <xf numFmtId="0" fontId="0" fillId="2" borderId="1" xfId="0" applyFont="1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4" xfId="0" applyFill="1" applyBorder="1" applyAlignment="1">
      <alignment horizontal="left"/>
    </xf>
    <xf numFmtId="0" fontId="0" fillId="2" borderId="4" xfId="0" applyFill="1" applyBorder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Fill="1" applyBorder="1"/>
    <xf numFmtId="0" fontId="0" fillId="0" borderId="0" xfId="0" applyFont="1" applyFill="1" applyBorder="1"/>
    <xf numFmtId="0" fontId="0" fillId="0" borderId="0" xfId="0" applyBorder="1"/>
    <xf numFmtId="0" fontId="0" fillId="0" borderId="0" xfId="0" applyBorder="1" applyAlignment="1">
      <alignment horizontal="left"/>
    </xf>
    <xf numFmtId="44" fontId="0" fillId="2" borderId="2" xfId="1" applyFont="1" applyFill="1" applyBorder="1"/>
    <xf numFmtId="44" fontId="0" fillId="2" borderId="3" xfId="1" applyFont="1" applyFill="1" applyBorder="1"/>
    <xf numFmtId="44" fontId="0" fillId="2" borderId="4" xfId="1" applyFont="1" applyFill="1" applyBorder="1"/>
    <xf numFmtId="0" fontId="5" fillId="2" borderId="0" xfId="0" applyFont="1" applyFill="1"/>
    <xf numFmtId="44" fontId="0" fillId="2" borderId="0" xfId="0" applyNumberFormat="1" applyFill="1"/>
    <xf numFmtId="44" fontId="5" fillId="2" borderId="0" xfId="0" applyNumberFormat="1" applyFont="1" applyFill="1"/>
    <xf numFmtId="44" fontId="3" fillId="2" borderId="0" xfId="0" applyNumberFormat="1" applyFont="1" applyFill="1"/>
    <xf numFmtId="22" fontId="0" fillId="2" borderId="0" xfId="0" applyNumberFormat="1" applyFill="1"/>
    <xf numFmtId="0" fontId="0" fillId="0" borderId="3" xfId="0" applyBorder="1"/>
    <xf numFmtId="44" fontId="0" fillId="0" borderId="3" xfId="1" applyFont="1" applyBorder="1"/>
    <xf numFmtId="7" fontId="0" fillId="0" borderId="0" xfId="0" applyNumberFormat="1"/>
    <xf numFmtId="44" fontId="0" fillId="0" borderId="0" xfId="0" applyNumberFormat="1"/>
    <xf numFmtId="44" fontId="0" fillId="0" borderId="0" xfId="1" applyNumberFormat="1" applyFont="1"/>
    <xf numFmtId="7" fontId="0" fillId="0" borderId="0" xfId="1" applyNumberFormat="1" applyFont="1"/>
    <xf numFmtId="0" fontId="0" fillId="0" borderId="3" xfId="2" applyNumberFormat="1" applyFont="1" applyBorder="1" applyAlignment="1">
      <alignment horizontal="center" vertical="center"/>
    </xf>
    <xf numFmtId="9" fontId="0" fillId="0" borderId="0" xfId="0" applyNumberFormat="1"/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1" fillId="2" borderId="8" xfId="0" applyFont="1" applyFill="1" applyBorder="1" applyAlignment="1">
      <alignment horizontal="center" wrapText="1"/>
    </xf>
    <xf numFmtId="0" fontId="1" fillId="2" borderId="5" xfId="0" applyFont="1" applyFill="1" applyBorder="1" applyAlignment="1">
      <alignment horizontal="center" wrapText="1"/>
    </xf>
  </cellXfs>
  <cellStyles count="3">
    <cellStyle name="Moeda" xfId="1" builtinId="4"/>
    <cellStyle name="Normal" xfId="0" builtinId="0"/>
    <cellStyle name="Porcentagem" xfId="2" builtinId="5"/>
  </cellStyles>
  <dxfs count="155"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medium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EFFF"/>
        </patternFill>
      </fill>
    </dxf>
    <dxf>
      <fill>
        <patternFill patternType="solid">
          <fgColor indexed="64"/>
          <bgColor rgb="FFFFEFFF"/>
        </patternFill>
      </fill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medium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EFFF"/>
        </patternFill>
      </fill>
    </dxf>
    <dxf>
      <fill>
        <patternFill patternType="solid">
          <fgColor indexed="64"/>
          <bgColor rgb="FFFFEFFF"/>
        </patternFill>
      </fill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medium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EFFF"/>
        </patternFill>
      </fill>
    </dxf>
    <dxf>
      <fill>
        <patternFill patternType="solid">
          <fgColor indexed="64"/>
          <bgColor rgb="FFFFE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EFFF"/>
        </patternFill>
      </fill>
    </dxf>
    <dxf>
      <border outline="0">
        <bottom style="medium">
          <color indexed="64"/>
        </bottom>
      </border>
    </dxf>
    <dxf>
      <fill>
        <patternFill patternType="solid">
          <fgColor indexed="64"/>
          <bgColor rgb="FFFFE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EFFF"/>
        </patternFill>
      </fill>
    </dxf>
    <dxf>
      <border outline="0">
        <bottom style="medium">
          <color indexed="64"/>
        </bottom>
      </border>
    </dxf>
    <dxf>
      <fill>
        <patternFill patternType="solid">
          <fgColor indexed="64"/>
          <bgColor rgb="FFFFEFFF"/>
        </patternFill>
      </fill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medium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EFFF"/>
        </patternFill>
      </fill>
    </dxf>
    <dxf>
      <border outline="0">
        <bottom style="medium">
          <color indexed="64"/>
        </bottom>
      </border>
    </dxf>
    <dxf>
      <fill>
        <patternFill patternType="solid">
          <fgColor indexed="64"/>
          <bgColor rgb="FFFFEFFF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E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border outline="0">
        <bottom style="medium">
          <color rgb="FF000000"/>
        </bottom>
      </border>
    </dxf>
    <dxf>
      <fill>
        <patternFill patternType="solid">
          <fgColor indexed="64"/>
          <bgColor rgb="FFFFEFFF"/>
        </patternFill>
      </fill>
      <border diagonalUp="0" diagonalDown="0" outline="0">
        <left/>
        <right/>
        <top/>
        <bottom/>
      </border>
    </dxf>
    <dxf>
      <numFmt numFmtId="0" formatCode="General"/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EF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E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E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rgb="FFFFEFFF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rgb="FFFFEFFF"/>
        </patternFill>
      </fill>
      <alignment horizontal="left" vertical="bottom" textRotation="0" wrapText="0" indent="0" justifyLastLine="0" shrinkToFit="0" readingOrder="0"/>
    </dxf>
    <dxf>
      <border diagonalUp="0" diagonalDown="0">
        <left/>
        <right/>
        <top/>
        <bottom style="thin">
          <color indexed="64"/>
        </bottom>
      </border>
    </dxf>
    <dxf>
      <fill>
        <patternFill patternType="solid">
          <fgColor indexed="64"/>
          <bgColor rgb="FFFFEFFF"/>
        </patternFill>
      </fill>
      <alignment horizontal="left" vertical="bottom" textRotation="0" wrapText="0" indent="0" justifyLastLine="0" shrinkToFit="0" readingOrder="0"/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3" tint="0.79998168889431442"/>
        </patternFill>
      </fill>
      <border>
        <left/>
        <right/>
        <top/>
        <bottom style="thin">
          <color theme="3" tint="0.39994506668294322"/>
        </bottom>
        <vertical/>
        <horizontal/>
      </border>
    </dxf>
    <dxf>
      <fill>
        <patternFill>
          <bgColor theme="0"/>
        </patternFill>
      </fill>
      <border diagonalUp="1" diagonalDown="1">
        <left/>
        <right/>
        <top/>
        <bottom/>
        <diagonal style="thin">
          <color auto="1"/>
        </diagonal>
        <vertical/>
        <horizontal/>
      </border>
    </dxf>
  </dxfs>
  <tableStyles count="1" defaultTableStyle="TableStyleMedium2" defaultPivotStyle="PivotStyleLight16">
    <tableStyle name="Estilo de Tabela 1" pivot="0" count="6" xr9:uid="{50F16F71-3C5B-4955-8D0F-97502A466426}">
      <tableStyleElement type="wholeTable" dxfId="154"/>
      <tableStyleElement type="headerRow" dxfId="153"/>
      <tableStyleElement type="firstRowStripe" dxfId="152"/>
      <tableStyleElement type="secondRowStripe" dxfId="151"/>
      <tableStyleElement type="firstColumnStripe" dxfId="150"/>
      <tableStyleElement type="secondColumnStripe" dxfId="149"/>
    </tableStyle>
  </tableStyles>
  <colors>
    <mruColors>
      <color rgb="FF7030A0"/>
      <color rgb="FFFF00FF"/>
      <color rgb="FFFF66FF"/>
      <color rgb="FFFFC000"/>
      <color rgb="FFFFEFFF"/>
      <color rgb="FFFFCCFF"/>
      <color rgb="FF660066"/>
      <color rgb="FFFF99FF"/>
      <color rgb="FFCC00CC"/>
      <color rgb="FFCC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solidFill>
              <a:srgbClr val="7030A0"/>
            </a:solidFill>
          </c:spPr>
          <c:dPt>
            <c:idx val="0"/>
            <c:bubble3D val="0"/>
            <c:spPr>
              <a:solidFill>
                <a:srgbClr val="FF00FF">
                  <a:alpha val="65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ECB-4A5A-8CE0-1CABB94CC83B}"/>
              </c:ext>
            </c:extLst>
          </c:dPt>
          <c:dPt>
            <c:idx val="1"/>
            <c:bubble3D val="0"/>
            <c:spPr>
              <a:solidFill>
                <a:srgbClr val="FF66FF">
                  <a:alpha val="65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CB-4A5A-8CE0-1CABB94CC83B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8ECB-4A5A-8CE0-1CABB94CC83B}"/>
              </c:ext>
            </c:extLst>
          </c:dPt>
          <c:dPt>
            <c:idx val="3"/>
            <c:bubble3D val="0"/>
            <c:spPr>
              <a:solidFill>
                <a:srgbClr val="CC00CC">
                  <a:alpha val="65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CB-4A5A-8CE0-1CABB94CC83B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8ECB-4A5A-8CE0-1CABB94CC83B}"/>
              </c:ext>
            </c:extLst>
          </c:dPt>
          <c:dLbls>
            <c:dLbl>
              <c:idx val="1"/>
              <c:layout>
                <c:manualLayout>
                  <c:x val="4.226096143687269E-3"/>
                  <c:y val="7.701707413954645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ECB-4A5A-8CE0-1CABB94CC83B}"/>
                </c:ext>
              </c:extLst>
            </c:dLbl>
            <c:spPr>
              <a:solidFill>
                <a:srgbClr val="660066">
                  <a:alpha val="10000"/>
                </a:srgbClr>
              </a:solidFill>
              <a:ln cmpd="thickThin">
                <a:solidFill>
                  <a:srgbClr val="7030A0"/>
                </a:solidFill>
                <a:beve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Dados!$J$4:$J$8</c:f>
              <c:strCache>
                <c:ptCount val="5"/>
                <c:pt idx="0">
                  <c:v>S. Forma</c:v>
                </c:pt>
                <c:pt idx="1">
                  <c:v>PIX</c:v>
                </c:pt>
                <c:pt idx="2">
                  <c:v>Online</c:v>
                </c:pt>
                <c:pt idx="3">
                  <c:v>Dinheiro</c:v>
                </c:pt>
                <c:pt idx="4">
                  <c:v>Cartão</c:v>
                </c:pt>
              </c:strCache>
            </c:strRef>
          </c:cat>
          <c:val>
            <c:numRef>
              <c:f>Dados!$K$4:$K$8</c:f>
              <c:numCache>
                <c:formatCode>General</c:formatCode>
                <c:ptCount val="5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CB-4A5A-8CE0-1CABB94CC83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Dados!$E$3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CFFC-44EF-AD99-7C611F581512}"/>
              </c:ext>
            </c:extLst>
          </c:dPt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FFC-44EF-AD99-7C611F581512}"/>
              </c:ext>
            </c:extLst>
          </c:dPt>
          <c:dPt>
            <c:idx val="2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FFC-44EF-AD99-7C611F581512}"/>
              </c:ext>
            </c:extLst>
          </c:dPt>
          <c:dPt>
            <c:idx val="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CFFC-44EF-AD99-7C611F581512}"/>
              </c:ext>
            </c:extLst>
          </c:dPt>
          <c:cat>
            <c:strRef>
              <c:f>Dados!$D$4:$D$31</c:f>
              <c:strCache>
                <c:ptCount val="28"/>
                <c:pt idx="0">
                  <c:v>Aparecida</c:v>
                </c:pt>
                <c:pt idx="1">
                  <c:v>Água Santa</c:v>
                </c:pt>
                <c:pt idx="2">
                  <c:v>Sub-Estação</c:v>
                </c:pt>
                <c:pt idx="3">
                  <c:v>Bela Vista</c:v>
                </c:pt>
                <c:pt idx="4">
                  <c:v>Esplanada</c:v>
                </c:pt>
                <c:pt idx="5">
                  <c:v>Boungaville 2</c:v>
                </c:pt>
                <c:pt idx="6">
                  <c:v>Maria Lúcia</c:v>
                </c:pt>
                <c:pt idx="7">
                  <c:v>Acácias</c:v>
                </c:pt>
                <c:pt idx="8">
                  <c:v>Bourbon</c:v>
                </c:pt>
                <c:pt idx="9">
                  <c:v>Piedade</c:v>
                </c:pt>
                <c:pt idx="10">
                  <c:v>Residencial Água Santa</c:v>
                </c:pt>
                <c:pt idx="11">
                  <c:v>Residencial Alvorada</c:v>
                </c:pt>
                <c:pt idx="12">
                  <c:v>Bounganville</c:v>
                </c:pt>
                <c:pt idx="13">
                  <c:v>Grajaú</c:v>
                </c:pt>
                <c:pt idx="14">
                  <c:v>Buração</c:v>
                </c:pt>
                <c:pt idx="15">
                  <c:v>Buritis</c:v>
                </c:pt>
                <c:pt idx="16">
                  <c:v>Centro</c:v>
                </c:pt>
                <c:pt idx="17">
                  <c:v>Cidade Jardim</c:v>
                </c:pt>
                <c:pt idx="18">
                  <c:v>Cidade Nova</c:v>
                </c:pt>
                <c:pt idx="19">
                  <c:v>Jardim Aeroporto</c:v>
                </c:pt>
                <c:pt idx="20">
                  <c:v>Jardim Imperial</c:v>
                </c:pt>
                <c:pt idx="21">
                  <c:v>Morada Nova</c:v>
                </c:pt>
                <c:pt idx="22">
                  <c:v>Nações</c:v>
                </c:pt>
                <c:pt idx="23">
                  <c:v>Planalto</c:v>
                </c:pt>
                <c:pt idx="24">
                  <c:v>São Geraldo</c:v>
                </c:pt>
                <c:pt idx="25">
                  <c:v>Vila Operária</c:v>
                </c:pt>
                <c:pt idx="26">
                  <c:v>Villa Romana</c:v>
                </c:pt>
                <c:pt idx="27">
                  <c:v>Vista Alegre</c:v>
                </c:pt>
              </c:strCache>
            </c:strRef>
          </c:cat>
          <c:val>
            <c:numRef>
              <c:f>Dados!$E$4:$E$31</c:f>
              <c:numCache>
                <c:formatCode>General</c:formatCode>
                <c:ptCount val="28"/>
                <c:pt idx="0">
                  <c:v>7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63-4C85-B3D3-550ED5C4B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94460864"/>
        <c:axId val="1094452128"/>
      </c:barChart>
      <c:catAx>
        <c:axId val="1094460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094452128"/>
        <c:crosses val="autoZero"/>
        <c:auto val="1"/>
        <c:lblAlgn val="ctr"/>
        <c:lblOffset val="100"/>
        <c:noMultiLvlLbl val="0"/>
      </c:catAx>
      <c:valAx>
        <c:axId val="109445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CC0099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4460864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Metas</c:v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FF0000">
                  <a:alpha val="65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89F-42D0-BCC9-84571A828B19}"/>
              </c:ext>
            </c:extLst>
          </c:dPt>
          <c:dPt>
            <c:idx val="1"/>
            <c:bubble3D val="0"/>
            <c:spPr>
              <a:solidFill>
                <a:srgbClr val="FFC000">
                  <a:alpha val="65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89F-42D0-BCC9-84571A828B19}"/>
              </c:ext>
            </c:extLst>
          </c:dPt>
          <c:dPt>
            <c:idx val="2"/>
            <c:bubble3D val="0"/>
            <c:spPr>
              <a:solidFill>
                <a:srgbClr val="92D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89F-42D0-BCC9-84571A828B19}"/>
              </c:ext>
            </c:extLst>
          </c:dPt>
          <c:dPt>
            <c:idx val="3"/>
            <c:bubble3D val="0"/>
            <c:spPr>
              <a:solidFill>
                <a:srgbClr val="00B050">
                  <a:alpha val="65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89F-42D0-BCC9-84571A828B19}"/>
              </c:ext>
            </c:extLst>
          </c:dPt>
          <c:dPt>
            <c:idx val="4"/>
            <c:bubble3D val="0"/>
            <c:spPr>
              <a:solidFill>
                <a:srgbClr val="5B9BD5">
                  <a:lumMod val="50000"/>
                  <a:alpha val="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89F-42D0-BCC9-84571A828B19}"/>
              </c:ext>
            </c:extLst>
          </c:dPt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89F-42D0-BCC9-84571A828B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Dados!$M$4:$M$8</c:f>
              <c:strCache>
                <c:ptCount val="5"/>
                <c:pt idx="0">
                  <c:v>Ruim</c:v>
                </c:pt>
                <c:pt idx="1">
                  <c:v>Bom</c:v>
                </c:pt>
                <c:pt idx="2">
                  <c:v>Otimo</c:v>
                </c:pt>
                <c:pt idx="3">
                  <c:v>Exelente</c:v>
                </c:pt>
                <c:pt idx="4">
                  <c:v>Total</c:v>
                </c:pt>
              </c:strCache>
            </c:strRef>
          </c:cat>
          <c:val>
            <c:numRef>
              <c:f>Dados!$N$4:$N$8</c:f>
              <c:numCache>
                <c:formatCode>_("R$"* #,##0.00_);_("R$"* \(#,##0.00\);_("R$"* "-"??_);_(@_)</c:formatCode>
                <c:ptCount val="5"/>
                <c:pt idx="0">
                  <c:v>275</c:v>
                </c:pt>
                <c:pt idx="1">
                  <c:v>275</c:v>
                </c:pt>
                <c:pt idx="2">
                  <c:v>275</c:v>
                </c:pt>
                <c:pt idx="3">
                  <c:v>275</c:v>
                </c:pt>
                <c:pt idx="4">
                  <c:v>1100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89F-42D0-BCC9-84571A828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50"/>
      </c:doughnutChart>
      <c:pieChart>
        <c:varyColors val="1"/>
        <c:ser>
          <c:idx val="1"/>
          <c:order val="1"/>
          <c:tx>
            <c:v>Ponteiro</c:v>
          </c:tx>
          <c:dPt>
            <c:idx val="0"/>
            <c:bubble3D val="0"/>
            <c:spPr>
              <a:noFill/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989F-42D0-BCC9-84571A828B1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8575" cap="rnd">
                <a:noFill/>
                <a:round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989F-42D0-BCC9-84571A828B19}"/>
              </c:ext>
            </c:extLst>
          </c:dPt>
          <c:dPt>
            <c:idx val="2"/>
            <c:bubble3D val="0"/>
            <c:spPr>
              <a:noFill/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989F-42D0-BCC9-84571A828B19}"/>
              </c:ext>
            </c:extLst>
          </c:dPt>
          <c:val>
            <c:numRef>
              <c:f>Dados!$N$11:$N$13</c:f>
              <c:numCache>
                <c:formatCode>_("R$"* #,##0.00_);_("R$"* \(#,##0.00\);_("R$"* "-"??_);_(@_)</c:formatCode>
                <c:ptCount val="3"/>
                <c:pt idx="0" formatCode="&quot;R$&quot;#,##0.00_);\(&quot;R$&quot;#,##0.00\)">
                  <c:v>672.3</c:v>
                </c:pt>
                <c:pt idx="1">
                  <c:v>11</c:v>
                </c:pt>
                <c:pt idx="2">
                  <c:v>1516.7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89F-42D0-BCC9-84571A828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11.png"/><Relationship Id="rId7" Type="http://schemas.openxmlformats.org/officeDocument/2006/relationships/chart" Target="../charts/chart1.xml"/><Relationship Id="rId2" Type="http://schemas.openxmlformats.org/officeDocument/2006/relationships/image" Target="../media/image10.svg"/><Relationship Id="rId1" Type="http://schemas.openxmlformats.org/officeDocument/2006/relationships/image" Target="../media/image9.png"/><Relationship Id="rId6" Type="http://schemas.openxmlformats.org/officeDocument/2006/relationships/image" Target="../media/image14.svg"/><Relationship Id="rId5" Type="http://schemas.openxmlformats.org/officeDocument/2006/relationships/image" Target="../media/image13.png"/><Relationship Id="rId4" Type="http://schemas.openxmlformats.org/officeDocument/2006/relationships/image" Target="../media/image12.svg"/><Relationship Id="rId9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180974</xdr:colOff>
      <xdr:row>2</xdr:row>
      <xdr:rowOff>85724</xdr:rowOff>
    </xdr:from>
    <xdr:to>
      <xdr:col>10</xdr:col>
      <xdr:colOff>95249</xdr:colOff>
      <xdr:row>22</xdr:row>
      <xdr:rowOff>133350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180974" y="466724"/>
          <a:ext cx="6105525" cy="3857626"/>
          <a:chOff x="180974" y="466724"/>
          <a:chExt cx="6619875" cy="3676651"/>
        </a:xfrm>
      </xdr:grpSpPr>
      <xdr:sp macro="" textlink="">
        <xdr:nvSpPr>
          <xdr:cNvPr id="5" name="Retângulo: Cantos Diagonais Arredondados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1047750" y="466724"/>
            <a:ext cx="4895849" cy="619125"/>
          </a:xfrm>
          <a:prstGeom prst="round2DiagRect">
            <a:avLst/>
          </a:prstGeom>
          <a:solidFill>
            <a:srgbClr val="FFCCFF"/>
          </a:solidFill>
          <a:ln w="38100">
            <a:solidFill>
              <a:srgbClr val="7030A0"/>
            </a:solidFill>
          </a:ln>
          <a:effectLst>
            <a:outerShdw blurRad="50800" dist="762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600">
                <a:ln>
                  <a:noFill/>
                </a:ln>
                <a:solidFill>
                  <a:schemeClr val="tx1">
                    <a:lumMod val="95000"/>
                    <a:lumOff val="5000"/>
                  </a:schemeClr>
                </a:solidFill>
                <a:latin typeface="Cooper Black" panose="0208090404030B020404" pitchFamily="18" charset="0"/>
              </a:rPr>
              <a:t>INFORMAÇÕES</a:t>
            </a:r>
            <a:r>
              <a:rPr lang="pt-BR" sz="1600" baseline="0">
                <a:ln>
                  <a:noFill/>
                </a:ln>
                <a:solidFill>
                  <a:schemeClr val="tx1">
                    <a:lumMod val="95000"/>
                    <a:lumOff val="5000"/>
                  </a:schemeClr>
                </a:solidFill>
                <a:latin typeface="Cooper Black" panose="0208090404030B020404" pitchFamily="18" charset="0"/>
              </a:rPr>
              <a:t> GERAIS</a:t>
            </a:r>
            <a:endParaRPr lang="pt-BR" sz="16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Cooper Black" panose="0208090404030B020404" pitchFamily="18" charset="0"/>
            </a:endParaRPr>
          </a:p>
        </xdr:txBody>
      </xdr:sp>
      <xdr:sp macro="" textlink="">
        <xdr:nvSpPr>
          <xdr:cNvPr id="3" name="Retângulo: Cantos Diagonais Arredondados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80974" y="885825"/>
            <a:ext cx="6619875" cy="3257550"/>
          </a:xfrm>
          <a:prstGeom prst="round2DiagRect">
            <a:avLst/>
          </a:prstGeom>
          <a:solidFill>
            <a:srgbClr val="FFCCFF"/>
          </a:solidFill>
          <a:ln w="38100">
            <a:solidFill>
              <a:srgbClr val="7030A0"/>
            </a:solidFill>
          </a:ln>
          <a:effectLst>
            <a:outerShdw blurRad="50800" dist="762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10</xdr:col>
      <xdr:colOff>429775</xdr:colOff>
      <xdr:row>2</xdr:row>
      <xdr:rowOff>94411</xdr:rowOff>
    </xdr:from>
    <xdr:to>
      <xdr:col>20</xdr:col>
      <xdr:colOff>511522</xdr:colOff>
      <xdr:row>22</xdr:row>
      <xdr:rowOff>133665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6621025" y="475411"/>
          <a:ext cx="6177747" cy="3849254"/>
          <a:chOff x="7029449" y="466724"/>
          <a:chExt cx="6619875" cy="3676651"/>
        </a:xfrm>
      </xdr:grpSpPr>
      <xdr:sp macro="" textlink="">
        <xdr:nvSpPr>
          <xdr:cNvPr id="7" name="Retângulo: Cantos Diagonais Arredondados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 flipH="1">
            <a:off x="7896225" y="466724"/>
            <a:ext cx="4895849" cy="619125"/>
          </a:xfrm>
          <a:prstGeom prst="round2DiagRect">
            <a:avLst/>
          </a:prstGeom>
          <a:solidFill>
            <a:srgbClr val="FFCCFF"/>
          </a:solidFill>
          <a:ln w="38100">
            <a:solidFill>
              <a:srgbClr val="7030A0"/>
            </a:solidFill>
          </a:ln>
          <a:effectLst>
            <a:outerShdw blurRad="50800" dist="762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800">
                <a:ln>
                  <a:noFill/>
                </a:ln>
                <a:solidFill>
                  <a:schemeClr val="tx1">
                    <a:lumMod val="95000"/>
                    <a:lumOff val="5000"/>
                  </a:schemeClr>
                </a:solidFill>
                <a:latin typeface="Cooper Black" panose="0208090404030B020404" pitchFamily="18" charset="0"/>
              </a:rPr>
              <a:t>RANKING</a:t>
            </a:r>
            <a:r>
              <a:rPr lang="pt-BR" sz="1800" baseline="0">
                <a:ln>
                  <a:noFill/>
                </a:ln>
                <a:solidFill>
                  <a:schemeClr val="tx1">
                    <a:lumMod val="95000"/>
                    <a:lumOff val="5000"/>
                  </a:schemeClr>
                </a:solidFill>
                <a:latin typeface="Cooper Black" panose="0208090404030B020404" pitchFamily="18" charset="0"/>
              </a:rPr>
              <a:t> DOS COMBOS</a:t>
            </a:r>
            <a:endPara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Cooper Black" panose="0208090404030B020404" pitchFamily="18" charset="0"/>
            </a:endParaRPr>
          </a:p>
        </xdr:txBody>
      </xdr:sp>
      <xdr:sp macro="" textlink="">
        <xdr:nvSpPr>
          <xdr:cNvPr id="8" name="Retângulo: Cantos Diagonais Arredondados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 flipH="1">
            <a:off x="7029449" y="885825"/>
            <a:ext cx="6619875" cy="3257550"/>
          </a:xfrm>
          <a:prstGeom prst="round2DiagRect">
            <a:avLst/>
          </a:prstGeom>
          <a:solidFill>
            <a:srgbClr val="FFCCFF"/>
          </a:solidFill>
          <a:ln w="38100">
            <a:solidFill>
              <a:srgbClr val="7030A0"/>
            </a:solidFill>
          </a:ln>
          <a:effectLst>
            <a:outerShdw blurRad="50800" dist="762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7153275" y="1000125"/>
            <a:ext cx="3895725" cy="3028950"/>
          </a:xfrm>
          <a:prstGeom prst="roundRect">
            <a:avLst/>
          </a:prstGeom>
          <a:solidFill>
            <a:srgbClr val="7030A0">
              <a:alpha val="10196"/>
            </a:srgbClr>
          </a:solidFill>
          <a:ln w="19050">
            <a:solidFill>
              <a:srgbClr val="7030A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Label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7896225" y="1456525"/>
                <a:ext cx="3105150" cy="381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8" name="Gráfico 17" descr="Medalha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296149" y="1275103"/>
            <a:ext cx="628651" cy="628651"/>
          </a:xfrm>
          <a:prstGeom prst="rect">
            <a:avLst/>
          </a:prstGeom>
        </xdr:spPr>
      </xdr:pic>
      <xdr:pic>
        <xdr:nvPicPr>
          <xdr:cNvPr id="19" name="Gráfico 18" descr="Medalha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67574" y="2046323"/>
            <a:ext cx="685801" cy="685801"/>
          </a:xfrm>
          <a:prstGeom prst="rect">
            <a:avLst/>
          </a:prstGeom>
        </xdr:spPr>
      </xdr:pic>
      <xdr:pic>
        <xdr:nvPicPr>
          <xdr:cNvPr id="20" name="Gráfico 19" descr="Medalha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267574" y="2967354"/>
            <a:ext cx="685801" cy="68580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Label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100-000002040000}"/>
                  </a:ext>
                </a:extLst>
              </xdr:cNvPr>
              <xdr:cNvSpPr/>
            </xdr:nvSpPr>
            <xdr:spPr bwMode="auto">
              <a:xfrm>
                <a:off x="7896225" y="2217773"/>
                <a:ext cx="3105150" cy="381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Label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100-000003040000}"/>
                  </a:ext>
                </a:extLst>
              </xdr:cNvPr>
              <xdr:cNvSpPr/>
            </xdr:nvSpPr>
            <xdr:spPr bwMode="auto">
              <a:xfrm>
                <a:off x="7924800" y="3129281"/>
                <a:ext cx="3105150" cy="381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/>
        </xdr:nvSpPr>
        <xdr:spPr>
          <a:xfrm>
            <a:off x="11153775" y="1000125"/>
            <a:ext cx="2257425" cy="3028950"/>
          </a:xfrm>
          <a:prstGeom prst="roundRect">
            <a:avLst/>
          </a:prstGeom>
          <a:solidFill>
            <a:srgbClr val="7030A0">
              <a:alpha val="10196"/>
            </a:srgbClr>
          </a:solidFill>
          <a:ln w="19050">
            <a:solidFill>
              <a:srgbClr val="7030A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" name="Label4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100-000004040000}"/>
                  </a:ext>
                </a:extLst>
              </xdr:cNvPr>
              <xdr:cNvSpPr/>
            </xdr:nvSpPr>
            <xdr:spPr bwMode="auto">
              <a:xfrm>
                <a:off x="11582400" y="1133028"/>
                <a:ext cx="1990726" cy="2800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190499</xdr:colOff>
      <xdr:row>23</xdr:row>
      <xdr:rowOff>142874</xdr:rowOff>
    </xdr:from>
    <xdr:to>
      <xdr:col>10</xdr:col>
      <xdr:colOff>104775</xdr:colOff>
      <xdr:row>44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pSpPr/>
      </xdr:nvGrpSpPr>
      <xdr:grpSpPr>
        <a:xfrm>
          <a:off x="190499" y="4524374"/>
          <a:ext cx="6105526" cy="3857626"/>
          <a:chOff x="180973" y="466724"/>
          <a:chExt cx="6619876" cy="3676651"/>
        </a:xfrm>
      </xdr:grpSpPr>
      <xdr:sp macro="" textlink="">
        <xdr:nvSpPr>
          <xdr:cNvPr id="22" name="Retângulo: Cantos Diagonais Arredondados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1047750" y="466724"/>
            <a:ext cx="4895849" cy="619125"/>
          </a:xfrm>
          <a:prstGeom prst="round2DiagRect">
            <a:avLst/>
          </a:prstGeom>
          <a:solidFill>
            <a:srgbClr val="FFCCFF"/>
          </a:solidFill>
          <a:ln w="38100">
            <a:solidFill>
              <a:srgbClr val="7030A0"/>
            </a:solidFill>
          </a:ln>
          <a:effectLst>
            <a:outerShdw blurRad="50800" dist="762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400">
                <a:ln>
                  <a:noFill/>
                </a:ln>
                <a:solidFill>
                  <a:schemeClr val="tx1">
                    <a:lumMod val="95000"/>
                    <a:lumOff val="5000"/>
                  </a:schemeClr>
                </a:solidFill>
                <a:latin typeface="Cooper Black" panose="0208090404030B020404" pitchFamily="18" charset="0"/>
              </a:rPr>
              <a:t>MEIO DE PAGAMENTO MAIS UTILIZADO</a:t>
            </a:r>
          </a:p>
        </xdr:txBody>
      </xdr:sp>
      <xdr:grpSp>
        <xdr:nvGrpSpPr>
          <xdr:cNvPr id="23" name="Agrupar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GrpSpPr/>
        </xdr:nvGrpSpPr>
        <xdr:grpSpPr>
          <a:xfrm>
            <a:off x="180973" y="885825"/>
            <a:ext cx="6619876" cy="3257550"/>
            <a:chOff x="142873" y="123825"/>
            <a:chExt cx="6619876" cy="3257550"/>
          </a:xfrm>
          <a:effectLst>
            <a:outerShdw blurRad="50800" dist="76200" dir="2700000" algn="tl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24" name="Retângulo: Cantos Diagonais Arredondados 23">
              <a:extLst>
                <a:ext uri="{FF2B5EF4-FFF2-40B4-BE49-F238E27FC236}">
                  <a16:creationId xmlns:a16="http://schemas.microsoft.com/office/drawing/2014/main" id="{00000000-0008-0000-0100-000018000000}"/>
                </a:ext>
              </a:extLst>
            </xdr:cNvPr>
            <xdr:cNvSpPr/>
          </xdr:nvSpPr>
          <xdr:spPr>
            <a:xfrm>
              <a:off x="142874" y="123825"/>
              <a:ext cx="6619875" cy="3257550"/>
            </a:xfrm>
            <a:prstGeom prst="round2DiagRect">
              <a:avLst/>
            </a:prstGeom>
            <a:solidFill>
              <a:srgbClr val="FFCCFF"/>
            </a:solidFill>
            <a:ln w="38100">
              <a:solidFill>
                <a:srgbClr val="7030A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GraphicFramePr>
              <a:graphicFrameLocks/>
            </xdr:cNvGraphicFramePr>
          </xdr:nvGraphicFramePr>
          <xdr:xfrm>
            <a:off x="142873" y="238125"/>
            <a:ext cx="6619875" cy="314325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"/>
            </a:graphicData>
          </a:graphic>
        </xdr:graphicFrame>
      </xdr:grpSp>
    </xdr:grpSp>
    <xdr:clientData/>
  </xdr:twoCellAnchor>
  <xdr:twoCellAnchor>
    <xdr:from>
      <xdr:col>10</xdr:col>
      <xdr:colOff>323849</xdr:colOff>
      <xdr:row>23</xdr:row>
      <xdr:rowOff>151840</xdr:rowOff>
    </xdr:from>
    <xdr:to>
      <xdr:col>21</xdr:col>
      <xdr:colOff>291353</xdr:colOff>
      <xdr:row>44</xdr:row>
      <xdr:rowOff>28576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6515099" y="4533340"/>
          <a:ext cx="6673104" cy="3877236"/>
          <a:chOff x="6375025" y="4504765"/>
          <a:chExt cx="6623799" cy="3877236"/>
        </a:xfrm>
      </xdr:grpSpPr>
      <xdr:sp macro="" textlink="">
        <xdr:nvSpPr>
          <xdr:cNvPr id="42" name="Retângulo: Cantos Diagonais Arredondados 41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 flipH="1">
            <a:off x="7261412" y="4504765"/>
            <a:ext cx="4859385" cy="649600"/>
          </a:xfrm>
          <a:prstGeom prst="round2DiagRect">
            <a:avLst/>
          </a:prstGeom>
          <a:solidFill>
            <a:srgbClr val="FFCCFF"/>
          </a:solidFill>
          <a:ln w="38100">
            <a:solidFill>
              <a:srgbClr val="7030A0"/>
            </a:solidFill>
          </a:ln>
          <a:effectLst>
            <a:outerShdw blurRad="50800" dist="762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800">
                <a:ln>
                  <a:noFill/>
                </a:ln>
                <a:solidFill>
                  <a:schemeClr val="tx1">
                    <a:lumMod val="95000"/>
                    <a:lumOff val="5000"/>
                  </a:schemeClr>
                </a:solidFill>
                <a:latin typeface="Cooper Black" panose="0208090404030B020404" pitchFamily="18" charset="0"/>
              </a:rPr>
              <a:t>NÚMERO</a:t>
            </a:r>
            <a:r>
              <a:rPr lang="pt-BR" sz="1800" baseline="0">
                <a:ln>
                  <a:noFill/>
                </a:ln>
                <a:solidFill>
                  <a:schemeClr val="tx1">
                    <a:lumMod val="95000"/>
                    <a:lumOff val="5000"/>
                  </a:schemeClr>
                </a:solidFill>
                <a:latin typeface="Cooper Black" panose="0208090404030B020404" pitchFamily="18" charset="0"/>
              </a:rPr>
              <a:t> DE VENDAS POR BAIRRO</a:t>
            </a:r>
            <a:endPara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Cooper Black" panose="0208090404030B020404" pitchFamily="18" charset="0"/>
            </a:endParaRPr>
          </a:p>
        </xdr:txBody>
      </xdr:sp>
      <xdr:sp macro="" textlink="">
        <xdr:nvSpPr>
          <xdr:cNvPr id="41" name="Retângulo: Cantos Diagonais Arredondados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SpPr/>
        </xdr:nvSpPr>
        <xdr:spPr>
          <a:xfrm flipH="1">
            <a:off x="6428254" y="4953000"/>
            <a:ext cx="6570570" cy="3417896"/>
          </a:xfrm>
          <a:prstGeom prst="round2DiagRect">
            <a:avLst/>
          </a:prstGeom>
          <a:solidFill>
            <a:srgbClr val="FFCCFF"/>
          </a:solidFill>
          <a:ln w="38100">
            <a:solidFill>
              <a:srgbClr val="7030A0"/>
            </a:solidFill>
          </a:ln>
          <a:effectLst>
            <a:outerShdw blurRad="50800" dist="762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aphicFrame macro="">
        <xdr:nvGraphicFramePr>
          <xdr:cNvPr id="40" name="Gráfico 39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GraphicFramePr>
            <a:graphicFrameLocks/>
          </xdr:cNvGraphicFramePr>
        </xdr:nvGraphicFramePr>
        <xdr:xfrm>
          <a:off x="6375025" y="5183969"/>
          <a:ext cx="6601386" cy="31980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0</xdr:col>
      <xdr:colOff>589991</xdr:colOff>
      <xdr:row>11</xdr:row>
      <xdr:rowOff>40217</xdr:rowOff>
    </xdr:from>
    <xdr:to>
      <xdr:col>4</xdr:col>
      <xdr:colOff>154494</xdr:colOff>
      <xdr:row>15</xdr:row>
      <xdr:rowOff>181417</xdr:rowOff>
    </xdr:to>
    <xdr:grpSp>
      <xdr:nvGrpSpPr>
        <xdr:cNvPr id="43" name="Agrupar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pSpPr/>
      </xdr:nvGrpSpPr>
      <xdr:grpSpPr>
        <a:xfrm>
          <a:off x="589991" y="2135717"/>
          <a:ext cx="2098153" cy="903200"/>
          <a:chOff x="504265" y="1095375"/>
          <a:chExt cx="2678205" cy="904874"/>
        </a:xfrm>
      </xdr:grpSpPr>
      <xdr:sp macro="" textlink="">
        <xdr:nvSpPr>
          <xdr:cNvPr id="44" name="Retângulo: Cantos Arredondados 8">
            <a:extLst>
              <a:ext uri="{FF2B5EF4-FFF2-40B4-BE49-F238E27FC236}">
                <a16:creationId xmlns:a16="http://schemas.microsoft.com/office/drawing/2014/main" id="{00000000-0008-0000-0100-00002C000000}"/>
              </a:ext>
            </a:extLst>
          </xdr:cNvPr>
          <xdr:cNvSpPr/>
        </xdr:nvSpPr>
        <xdr:spPr>
          <a:xfrm>
            <a:off x="514350" y="1103144"/>
            <a:ext cx="2654114" cy="897105"/>
          </a:xfrm>
          <a:custGeom>
            <a:avLst/>
            <a:gdLst>
              <a:gd name="connsiteX0" fmla="*/ 0 w 2686551"/>
              <a:gd name="connsiteY0" fmla="*/ 149228 h 895350"/>
              <a:gd name="connsiteX1" fmla="*/ 149228 w 2686551"/>
              <a:gd name="connsiteY1" fmla="*/ 0 h 895350"/>
              <a:gd name="connsiteX2" fmla="*/ 2537323 w 2686551"/>
              <a:gd name="connsiteY2" fmla="*/ 0 h 895350"/>
              <a:gd name="connsiteX3" fmla="*/ 2686551 w 2686551"/>
              <a:gd name="connsiteY3" fmla="*/ 149228 h 895350"/>
              <a:gd name="connsiteX4" fmla="*/ 2686551 w 2686551"/>
              <a:gd name="connsiteY4" fmla="*/ 746122 h 895350"/>
              <a:gd name="connsiteX5" fmla="*/ 2537323 w 2686551"/>
              <a:gd name="connsiteY5" fmla="*/ 895350 h 895350"/>
              <a:gd name="connsiteX6" fmla="*/ 149228 w 2686551"/>
              <a:gd name="connsiteY6" fmla="*/ 895350 h 895350"/>
              <a:gd name="connsiteX7" fmla="*/ 0 w 2686551"/>
              <a:gd name="connsiteY7" fmla="*/ 746122 h 895350"/>
              <a:gd name="connsiteX8" fmla="*/ 0 w 2686551"/>
              <a:gd name="connsiteY8" fmla="*/ 149228 h 895350"/>
              <a:gd name="connsiteX0" fmla="*/ 0 w 2686551"/>
              <a:gd name="connsiteY0" fmla="*/ 150034 h 896156"/>
              <a:gd name="connsiteX1" fmla="*/ 149228 w 2686551"/>
              <a:gd name="connsiteY1" fmla="*/ 806 h 896156"/>
              <a:gd name="connsiteX2" fmla="*/ 2537323 w 2686551"/>
              <a:gd name="connsiteY2" fmla="*/ 806 h 896156"/>
              <a:gd name="connsiteX3" fmla="*/ 2686551 w 2686551"/>
              <a:gd name="connsiteY3" fmla="*/ 69823 h 896156"/>
              <a:gd name="connsiteX4" fmla="*/ 2686551 w 2686551"/>
              <a:gd name="connsiteY4" fmla="*/ 746928 h 896156"/>
              <a:gd name="connsiteX5" fmla="*/ 2537323 w 2686551"/>
              <a:gd name="connsiteY5" fmla="*/ 896156 h 896156"/>
              <a:gd name="connsiteX6" fmla="*/ 149228 w 2686551"/>
              <a:gd name="connsiteY6" fmla="*/ 896156 h 896156"/>
              <a:gd name="connsiteX7" fmla="*/ 0 w 2686551"/>
              <a:gd name="connsiteY7" fmla="*/ 746928 h 896156"/>
              <a:gd name="connsiteX8" fmla="*/ 0 w 2686551"/>
              <a:gd name="connsiteY8" fmla="*/ 150034 h 896156"/>
              <a:gd name="connsiteX0" fmla="*/ 0 w 2686551"/>
              <a:gd name="connsiteY0" fmla="*/ 65760 h 897105"/>
              <a:gd name="connsiteX1" fmla="*/ 149228 w 2686551"/>
              <a:gd name="connsiteY1" fmla="*/ 1755 h 897105"/>
              <a:gd name="connsiteX2" fmla="*/ 2537323 w 2686551"/>
              <a:gd name="connsiteY2" fmla="*/ 1755 h 897105"/>
              <a:gd name="connsiteX3" fmla="*/ 2686551 w 2686551"/>
              <a:gd name="connsiteY3" fmla="*/ 70772 h 897105"/>
              <a:gd name="connsiteX4" fmla="*/ 2686551 w 2686551"/>
              <a:gd name="connsiteY4" fmla="*/ 747877 h 897105"/>
              <a:gd name="connsiteX5" fmla="*/ 2537323 w 2686551"/>
              <a:gd name="connsiteY5" fmla="*/ 897105 h 897105"/>
              <a:gd name="connsiteX6" fmla="*/ 149228 w 2686551"/>
              <a:gd name="connsiteY6" fmla="*/ 897105 h 897105"/>
              <a:gd name="connsiteX7" fmla="*/ 0 w 2686551"/>
              <a:gd name="connsiteY7" fmla="*/ 747877 h 897105"/>
              <a:gd name="connsiteX8" fmla="*/ 0 w 2686551"/>
              <a:gd name="connsiteY8" fmla="*/ 65760 h 89710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2686551" h="897105">
                <a:moveTo>
                  <a:pt x="0" y="65760"/>
                </a:moveTo>
                <a:cubicBezTo>
                  <a:pt x="0" y="-16656"/>
                  <a:pt x="66812" y="1755"/>
                  <a:pt x="149228" y="1755"/>
                </a:cubicBezTo>
                <a:lnTo>
                  <a:pt x="2537323" y="1755"/>
                </a:lnTo>
                <a:cubicBezTo>
                  <a:pt x="2619739" y="1755"/>
                  <a:pt x="2686551" y="-11644"/>
                  <a:pt x="2686551" y="70772"/>
                </a:cubicBezTo>
                <a:lnTo>
                  <a:pt x="2686551" y="747877"/>
                </a:lnTo>
                <a:cubicBezTo>
                  <a:pt x="2686551" y="830293"/>
                  <a:pt x="2619739" y="897105"/>
                  <a:pt x="2537323" y="897105"/>
                </a:cubicBezTo>
                <a:lnTo>
                  <a:pt x="149228" y="897105"/>
                </a:lnTo>
                <a:cubicBezTo>
                  <a:pt x="66812" y="897105"/>
                  <a:pt x="0" y="830293"/>
                  <a:pt x="0" y="747877"/>
                </a:cubicBezTo>
                <a:lnTo>
                  <a:pt x="0" y="65760"/>
                </a:lnTo>
                <a:close/>
              </a:path>
            </a:pathLst>
          </a:custGeom>
          <a:solidFill>
            <a:srgbClr val="7030A0">
              <a:alpha val="10196"/>
            </a:srgbClr>
          </a:solidFill>
          <a:ln w="19050">
            <a:solidFill>
              <a:srgbClr val="7030A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0" name="totalLiter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100-000006040000}"/>
                  </a:ext>
                </a:extLst>
              </xdr:cNvPr>
              <xdr:cNvSpPr/>
            </xdr:nvSpPr>
            <xdr:spPr bwMode="auto">
              <a:xfrm>
                <a:off x="504265" y="1582271"/>
                <a:ext cx="2678205" cy="32273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5" name="Retângulo: Cantos Arredondados 44">
            <a:extLst>
              <a:ext uri="{FF2B5EF4-FFF2-40B4-BE49-F238E27FC236}">
                <a16:creationId xmlns:a16="http://schemas.microsoft.com/office/drawing/2014/main" id="{00000000-0008-0000-0100-00002D000000}"/>
              </a:ext>
            </a:extLst>
          </xdr:cNvPr>
          <xdr:cNvSpPr/>
        </xdr:nvSpPr>
        <xdr:spPr>
          <a:xfrm>
            <a:off x="511341" y="1095375"/>
            <a:ext cx="2657121" cy="342900"/>
          </a:xfrm>
          <a:prstGeom prst="roundRect">
            <a:avLst/>
          </a:prstGeom>
          <a:solidFill>
            <a:srgbClr val="7030A0">
              <a:alpha val="20000"/>
            </a:srgbClr>
          </a:solidFill>
          <a:ln>
            <a:solidFill>
              <a:srgbClr val="7030A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solidFill>
                  <a:sysClr val="windowText" lastClr="000000"/>
                </a:solidFill>
                <a:latin typeface="Cooper Black" panose="0208090404030B020404" pitchFamily="18" charset="0"/>
              </a:rPr>
              <a:t>QTD. VENDIDA</a:t>
            </a:r>
          </a:p>
        </xdr:txBody>
      </xdr:sp>
    </xdr:grpSp>
    <xdr:clientData/>
  </xdr:twoCellAnchor>
  <xdr:twoCellAnchor>
    <xdr:from>
      <xdr:col>0</xdr:col>
      <xdr:colOff>582147</xdr:colOff>
      <xdr:row>16</xdr:row>
      <xdr:rowOff>183802</xdr:rowOff>
    </xdr:from>
    <xdr:to>
      <xdr:col>4</xdr:col>
      <xdr:colOff>131102</xdr:colOff>
      <xdr:row>21</xdr:row>
      <xdr:rowOff>134082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582147" y="3231802"/>
          <a:ext cx="2082605" cy="902780"/>
          <a:chOff x="504265" y="1095375"/>
          <a:chExt cx="2678204" cy="904874"/>
        </a:xfrm>
      </xdr:grpSpPr>
      <xdr:sp macro="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514350" y="1103144"/>
            <a:ext cx="2654112" cy="897105"/>
          </a:xfrm>
          <a:custGeom>
            <a:avLst/>
            <a:gdLst>
              <a:gd name="connsiteX0" fmla="*/ 0 w 2686551"/>
              <a:gd name="connsiteY0" fmla="*/ 149228 h 895350"/>
              <a:gd name="connsiteX1" fmla="*/ 149228 w 2686551"/>
              <a:gd name="connsiteY1" fmla="*/ 0 h 895350"/>
              <a:gd name="connsiteX2" fmla="*/ 2537323 w 2686551"/>
              <a:gd name="connsiteY2" fmla="*/ 0 h 895350"/>
              <a:gd name="connsiteX3" fmla="*/ 2686551 w 2686551"/>
              <a:gd name="connsiteY3" fmla="*/ 149228 h 895350"/>
              <a:gd name="connsiteX4" fmla="*/ 2686551 w 2686551"/>
              <a:gd name="connsiteY4" fmla="*/ 746122 h 895350"/>
              <a:gd name="connsiteX5" fmla="*/ 2537323 w 2686551"/>
              <a:gd name="connsiteY5" fmla="*/ 895350 h 895350"/>
              <a:gd name="connsiteX6" fmla="*/ 149228 w 2686551"/>
              <a:gd name="connsiteY6" fmla="*/ 895350 h 895350"/>
              <a:gd name="connsiteX7" fmla="*/ 0 w 2686551"/>
              <a:gd name="connsiteY7" fmla="*/ 746122 h 895350"/>
              <a:gd name="connsiteX8" fmla="*/ 0 w 2686551"/>
              <a:gd name="connsiteY8" fmla="*/ 149228 h 895350"/>
              <a:gd name="connsiteX0" fmla="*/ 0 w 2686551"/>
              <a:gd name="connsiteY0" fmla="*/ 150034 h 896156"/>
              <a:gd name="connsiteX1" fmla="*/ 149228 w 2686551"/>
              <a:gd name="connsiteY1" fmla="*/ 806 h 896156"/>
              <a:gd name="connsiteX2" fmla="*/ 2537323 w 2686551"/>
              <a:gd name="connsiteY2" fmla="*/ 806 h 896156"/>
              <a:gd name="connsiteX3" fmla="*/ 2686551 w 2686551"/>
              <a:gd name="connsiteY3" fmla="*/ 69823 h 896156"/>
              <a:gd name="connsiteX4" fmla="*/ 2686551 w 2686551"/>
              <a:gd name="connsiteY4" fmla="*/ 746928 h 896156"/>
              <a:gd name="connsiteX5" fmla="*/ 2537323 w 2686551"/>
              <a:gd name="connsiteY5" fmla="*/ 896156 h 896156"/>
              <a:gd name="connsiteX6" fmla="*/ 149228 w 2686551"/>
              <a:gd name="connsiteY6" fmla="*/ 896156 h 896156"/>
              <a:gd name="connsiteX7" fmla="*/ 0 w 2686551"/>
              <a:gd name="connsiteY7" fmla="*/ 746928 h 896156"/>
              <a:gd name="connsiteX8" fmla="*/ 0 w 2686551"/>
              <a:gd name="connsiteY8" fmla="*/ 150034 h 896156"/>
              <a:gd name="connsiteX0" fmla="*/ 0 w 2686551"/>
              <a:gd name="connsiteY0" fmla="*/ 65760 h 897105"/>
              <a:gd name="connsiteX1" fmla="*/ 149228 w 2686551"/>
              <a:gd name="connsiteY1" fmla="*/ 1755 h 897105"/>
              <a:gd name="connsiteX2" fmla="*/ 2537323 w 2686551"/>
              <a:gd name="connsiteY2" fmla="*/ 1755 h 897105"/>
              <a:gd name="connsiteX3" fmla="*/ 2686551 w 2686551"/>
              <a:gd name="connsiteY3" fmla="*/ 70772 h 897105"/>
              <a:gd name="connsiteX4" fmla="*/ 2686551 w 2686551"/>
              <a:gd name="connsiteY4" fmla="*/ 747877 h 897105"/>
              <a:gd name="connsiteX5" fmla="*/ 2537323 w 2686551"/>
              <a:gd name="connsiteY5" fmla="*/ 897105 h 897105"/>
              <a:gd name="connsiteX6" fmla="*/ 149228 w 2686551"/>
              <a:gd name="connsiteY6" fmla="*/ 897105 h 897105"/>
              <a:gd name="connsiteX7" fmla="*/ 0 w 2686551"/>
              <a:gd name="connsiteY7" fmla="*/ 747877 h 897105"/>
              <a:gd name="connsiteX8" fmla="*/ 0 w 2686551"/>
              <a:gd name="connsiteY8" fmla="*/ 65760 h 89710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2686551" h="897105">
                <a:moveTo>
                  <a:pt x="0" y="65760"/>
                </a:moveTo>
                <a:cubicBezTo>
                  <a:pt x="0" y="-16656"/>
                  <a:pt x="66812" y="1755"/>
                  <a:pt x="149228" y="1755"/>
                </a:cubicBezTo>
                <a:lnTo>
                  <a:pt x="2537323" y="1755"/>
                </a:lnTo>
                <a:cubicBezTo>
                  <a:pt x="2619739" y="1755"/>
                  <a:pt x="2686551" y="-11644"/>
                  <a:pt x="2686551" y="70772"/>
                </a:cubicBezTo>
                <a:lnTo>
                  <a:pt x="2686551" y="747877"/>
                </a:lnTo>
                <a:cubicBezTo>
                  <a:pt x="2686551" y="830293"/>
                  <a:pt x="2619739" y="897105"/>
                  <a:pt x="2537323" y="897105"/>
                </a:cubicBezTo>
                <a:lnTo>
                  <a:pt x="149228" y="897105"/>
                </a:lnTo>
                <a:cubicBezTo>
                  <a:pt x="66812" y="897105"/>
                  <a:pt x="0" y="830293"/>
                  <a:pt x="0" y="747877"/>
                </a:cubicBezTo>
                <a:lnTo>
                  <a:pt x="0" y="65760"/>
                </a:lnTo>
                <a:close/>
              </a:path>
            </a:pathLst>
          </a:custGeom>
          <a:solidFill>
            <a:srgbClr val="7030A0">
              <a:alpha val="10196"/>
            </a:srgbClr>
          </a:solidFill>
          <a:ln w="19050">
            <a:solidFill>
              <a:srgbClr val="7030A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/>
        </xdr:nvSpPr>
        <xdr:spPr>
          <a:xfrm>
            <a:off x="511341" y="1095375"/>
            <a:ext cx="2657121" cy="342900"/>
          </a:xfrm>
          <a:prstGeom prst="roundRect">
            <a:avLst/>
          </a:prstGeom>
          <a:solidFill>
            <a:srgbClr val="7030A0">
              <a:alpha val="20000"/>
            </a:srgbClr>
          </a:solidFill>
          <a:ln>
            <a:solidFill>
              <a:srgbClr val="7030A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solidFill>
                  <a:sysClr val="windowText" lastClr="000000"/>
                </a:solidFill>
                <a:latin typeface="Cooper Black" panose="0208090404030B020404" pitchFamily="18" charset="0"/>
              </a:rPr>
              <a:t>Nº DE VENDAS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numberSells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100-000005040000}"/>
                  </a:ext>
                </a:extLst>
              </xdr:cNvPr>
              <xdr:cNvSpPr/>
            </xdr:nvSpPr>
            <xdr:spPr bwMode="auto">
              <a:xfrm>
                <a:off x="504265" y="1582271"/>
                <a:ext cx="2678204" cy="32273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590550</xdr:colOff>
      <xdr:row>5</xdr:row>
      <xdr:rowOff>140781</xdr:rowOff>
    </xdr:from>
    <xdr:to>
      <xdr:col>4</xdr:col>
      <xdr:colOff>135444</xdr:colOff>
      <xdr:row>10</xdr:row>
      <xdr:rowOff>91063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pSpPr/>
      </xdr:nvGrpSpPr>
      <xdr:grpSpPr>
        <a:xfrm>
          <a:off x="590550" y="1093281"/>
          <a:ext cx="2078544" cy="902782"/>
          <a:chOff x="504266" y="1095375"/>
          <a:chExt cx="2678205" cy="904873"/>
        </a:xfrm>
      </xdr:grpSpPr>
      <xdr:sp macro="" textlink="">
        <xdr:nvSpPr>
          <xdr:cNvPr id="53" name="Retângulo: Cantos Arredondados 8">
            <a:extLst>
              <a:ext uri="{FF2B5EF4-FFF2-40B4-BE49-F238E27FC236}">
                <a16:creationId xmlns:a16="http://schemas.microsoft.com/office/drawing/2014/main" id="{00000000-0008-0000-0100-000035000000}"/>
              </a:ext>
            </a:extLst>
          </xdr:cNvPr>
          <xdr:cNvSpPr/>
        </xdr:nvSpPr>
        <xdr:spPr>
          <a:xfrm>
            <a:off x="514350" y="1103143"/>
            <a:ext cx="2654114" cy="897105"/>
          </a:xfrm>
          <a:custGeom>
            <a:avLst/>
            <a:gdLst>
              <a:gd name="connsiteX0" fmla="*/ 0 w 2686551"/>
              <a:gd name="connsiteY0" fmla="*/ 149228 h 895350"/>
              <a:gd name="connsiteX1" fmla="*/ 149228 w 2686551"/>
              <a:gd name="connsiteY1" fmla="*/ 0 h 895350"/>
              <a:gd name="connsiteX2" fmla="*/ 2537323 w 2686551"/>
              <a:gd name="connsiteY2" fmla="*/ 0 h 895350"/>
              <a:gd name="connsiteX3" fmla="*/ 2686551 w 2686551"/>
              <a:gd name="connsiteY3" fmla="*/ 149228 h 895350"/>
              <a:gd name="connsiteX4" fmla="*/ 2686551 w 2686551"/>
              <a:gd name="connsiteY4" fmla="*/ 746122 h 895350"/>
              <a:gd name="connsiteX5" fmla="*/ 2537323 w 2686551"/>
              <a:gd name="connsiteY5" fmla="*/ 895350 h 895350"/>
              <a:gd name="connsiteX6" fmla="*/ 149228 w 2686551"/>
              <a:gd name="connsiteY6" fmla="*/ 895350 h 895350"/>
              <a:gd name="connsiteX7" fmla="*/ 0 w 2686551"/>
              <a:gd name="connsiteY7" fmla="*/ 746122 h 895350"/>
              <a:gd name="connsiteX8" fmla="*/ 0 w 2686551"/>
              <a:gd name="connsiteY8" fmla="*/ 149228 h 895350"/>
              <a:gd name="connsiteX0" fmla="*/ 0 w 2686551"/>
              <a:gd name="connsiteY0" fmla="*/ 150034 h 896156"/>
              <a:gd name="connsiteX1" fmla="*/ 149228 w 2686551"/>
              <a:gd name="connsiteY1" fmla="*/ 806 h 896156"/>
              <a:gd name="connsiteX2" fmla="*/ 2537323 w 2686551"/>
              <a:gd name="connsiteY2" fmla="*/ 806 h 896156"/>
              <a:gd name="connsiteX3" fmla="*/ 2686551 w 2686551"/>
              <a:gd name="connsiteY3" fmla="*/ 69823 h 896156"/>
              <a:gd name="connsiteX4" fmla="*/ 2686551 w 2686551"/>
              <a:gd name="connsiteY4" fmla="*/ 746928 h 896156"/>
              <a:gd name="connsiteX5" fmla="*/ 2537323 w 2686551"/>
              <a:gd name="connsiteY5" fmla="*/ 896156 h 896156"/>
              <a:gd name="connsiteX6" fmla="*/ 149228 w 2686551"/>
              <a:gd name="connsiteY6" fmla="*/ 896156 h 896156"/>
              <a:gd name="connsiteX7" fmla="*/ 0 w 2686551"/>
              <a:gd name="connsiteY7" fmla="*/ 746928 h 896156"/>
              <a:gd name="connsiteX8" fmla="*/ 0 w 2686551"/>
              <a:gd name="connsiteY8" fmla="*/ 150034 h 896156"/>
              <a:gd name="connsiteX0" fmla="*/ 0 w 2686551"/>
              <a:gd name="connsiteY0" fmla="*/ 65760 h 897105"/>
              <a:gd name="connsiteX1" fmla="*/ 149228 w 2686551"/>
              <a:gd name="connsiteY1" fmla="*/ 1755 h 897105"/>
              <a:gd name="connsiteX2" fmla="*/ 2537323 w 2686551"/>
              <a:gd name="connsiteY2" fmla="*/ 1755 h 897105"/>
              <a:gd name="connsiteX3" fmla="*/ 2686551 w 2686551"/>
              <a:gd name="connsiteY3" fmla="*/ 70772 h 897105"/>
              <a:gd name="connsiteX4" fmla="*/ 2686551 w 2686551"/>
              <a:gd name="connsiteY4" fmla="*/ 747877 h 897105"/>
              <a:gd name="connsiteX5" fmla="*/ 2537323 w 2686551"/>
              <a:gd name="connsiteY5" fmla="*/ 897105 h 897105"/>
              <a:gd name="connsiteX6" fmla="*/ 149228 w 2686551"/>
              <a:gd name="connsiteY6" fmla="*/ 897105 h 897105"/>
              <a:gd name="connsiteX7" fmla="*/ 0 w 2686551"/>
              <a:gd name="connsiteY7" fmla="*/ 747877 h 897105"/>
              <a:gd name="connsiteX8" fmla="*/ 0 w 2686551"/>
              <a:gd name="connsiteY8" fmla="*/ 65760 h 89710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2686551" h="897105">
                <a:moveTo>
                  <a:pt x="0" y="65760"/>
                </a:moveTo>
                <a:cubicBezTo>
                  <a:pt x="0" y="-16656"/>
                  <a:pt x="66812" y="1755"/>
                  <a:pt x="149228" y="1755"/>
                </a:cubicBezTo>
                <a:lnTo>
                  <a:pt x="2537323" y="1755"/>
                </a:lnTo>
                <a:cubicBezTo>
                  <a:pt x="2619739" y="1755"/>
                  <a:pt x="2686551" y="-11644"/>
                  <a:pt x="2686551" y="70772"/>
                </a:cubicBezTo>
                <a:lnTo>
                  <a:pt x="2686551" y="747877"/>
                </a:lnTo>
                <a:cubicBezTo>
                  <a:pt x="2686551" y="830293"/>
                  <a:pt x="2619739" y="897105"/>
                  <a:pt x="2537323" y="897105"/>
                </a:cubicBezTo>
                <a:lnTo>
                  <a:pt x="149228" y="897105"/>
                </a:lnTo>
                <a:cubicBezTo>
                  <a:pt x="66812" y="897105"/>
                  <a:pt x="0" y="830293"/>
                  <a:pt x="0" y="747877"/>
                </a:cubicBezTo>
                <a:lnTo>
                  <a:pt x="0" y="65760"/>
                </a:lnTo>
                <a:close/>
              </a:path>
            </a:pathLst>
          </a:custGeom>
          <a:solidFill>
            <a:srgbClr val="7030A0">
              <a:alpha val="10196"/>
            </a:srgbClr>
          </a:solidFill>
          <a:ln w="19050">
            <a:solidFill>
              <a:srgbClr val="7030A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4" name="Retângulo: Cantos Arredondados 53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SpPr/>
        </xdr:nvSpPr>
        <xdr:spPr>
          <a:xfrm>
            <a:off x="511341" y="1095375"/>
            <a:ext cx="2657119" cy="342900"/>
          </a:xfrm>
          <a:prstGeom prst="roundRect">
            <a:avLst/>
          </a:prstGeom>
          <a:solidFill>
            <a:srgbClr val="7030A0">
              <a:alpha val="20000"/>
            </a:srgbClr>
          </a:solidFill>
          <a:ln>
            <a:solidFill>
              <a:srgbClr val="7030A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solidFill>
                  <a:sysClr val="windowText" lastClr="000000"/>
                </a:solidFill>
                <a:latin typeface="Cooper Black" panose="0208090404030B020404" pitchFamily="18" charset="0"/>
              </a:rPr>
              <a:t>RECEITA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profitTotal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100-000008040000}"/>
                  </a:ext>
                </a:extLst>
              </xdr:cNvPr>
              <xdr:cNvSpPr/>
            </xdr:nvSpPr>
            <xdr:spPr bwMode="auto">
              <a:xfrm>
                <a:off x="504266" y="1582271"/>
                <a:ext cx="2678205" cy="32273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</xdr:col>
      <xdr:colOff>581026</xdr:colOff>
      <xdr:row>9</xdr:row>
      <xdr:rowOff>47625</xdr:rowOff>
    </xdr:from>
    <xdr:to>
      <xdr:col>12</xdr:col>
      <xdr:colOff>419100</xdr:colOff>
      <xdr:row>25</xdr:row>
      <xdr:rowOff>95251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pSpPr/>
      </xdr:nvGrpSpPr>
      <xdr:grpSpPr>
        <a:xfrm>
          <a:off x="1285876" y="1762125"/>
          <a:ext cx="6543674" cy="3095626"/>
          <a:chOff x="1285876" y="1762125"/>
          <a:chExt cx="6543674" cy="3095626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GraphicFramePr>
            <a:graphicFrameLocks/>
          </xdr:cNvGraphicFramePr>
        </xdr:nvGraphicFramePr>
        <xdr:xfrm>
          <a:off x="1285876" y="1762125"/>
          <a:ext cx="6543674" cy="30956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GrpSpPr/>
        </xdr:nvGrpSpPr>
        <xdr:grpSpPr>
          <a:xfrm>
            <a:off x="3286489" y="2763199"/>
            <a:ext cx="2584126" cy="1236841"/>
            <a:chOff x="3485332" y="1868893"/>
            <a:chExt cx="2362200" cy="1107449"/>
          </a:xfrm>
          <a:solidFill>
            <a:schemeClr val="tx1">
              <a:lumMod val="50000"/>
              <a:lumOff val="50000"/>
            </a:schemeClr>
          </a:solidFill>
        </xdr:grpSpPr>
        <xdr:sp macro="" textlink="">
          <xdr:nvSpPr>
            <xdr:cNvPr id="2" name="Elipse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>
            <a:xfrm>
              <a:off x="4142557" y="1868893"/>
              <a:ext cx="1000125" cy="1028700"/>
            </a:xfrm>
            <a:prstGeom prst="ellipse">
              <a:avLst/>
            </a:prstGeom>
            <a:solidFill>
              <a:srgbClr val="7030A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" name="Retângulo 13"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SpPr/>
          </xdr:nvSpPr>
          <xdr:spPr>
            <a:xfrm>
              <a:off x="3485332" y="2423892"/>
              <a:ext cx="2362200" cy="552450"/>
            </a:xfrm>
            <a:prstGeom prst="rect">
              <a:avLst/>
            </a:prstGeom>
            <a:solidFill>
              <a:srgbClr val="7030A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/>
                <a:t>NIVEL</a:t>
              </a:r>
              <a:r>
                <a:rPr lang="pt-BR" sz="1100" baseline="0"/>
                <a:t> DE SATISFAÇÃO DA RECEITA OBTIDA EM COMPARAÇÃO A META PROPOSTA</a:t>
              </a:r>
              <a:endParaRPr lang="pt-BR" sz="1100"/>
            </a:p>
          </xdr:txBody>
        </xdr:sp>
      </xdr:grpSp>
    </xdr:grpSp>
    <xdr:clientData/>
  </xdr:twoCellAnchor>
  <xdr:twoCellAnchor>
    <xdr:from>
      <xdr:col>4</xdr:col>
      <xdr:colOff>560628</xdr:colOff>
      <xdr:row>5</xdr:row>
      <xdr:rowOff>142875</xdr:rowOff>
    </xdr:from>
    <xdr:to>
      <xdr:col>9</xdr:col>
      <xdr:colOff>583885</xdr:colOff>
      <xdr:row>10</xdr:row>
      <xdr:rowOff>95249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GrpSpPr/>
      </xdr:nvGrpSpPr>
      <xdr:grpSpPr>
        <a:xfrm>
          <a:off x="3094278" y="1095375"/>
          <a:ext cx="3071257" cy="904874"/>
          <a:chOff x="511341" y="1095375"/>
          <a:chExt cx="2657123" cy="904873"/>
        </a:xfrm>
      </xdr:grpSpPr>
      <xdr:sp macro="" textlink="">
        <xdr:nvSpPr>
          <xdr:cNvPr id="56" name="Retângulo: Cantos Arredondados 8">
            <a:extLst>
              <a:ext uri="{FF2B5EF4-FFF2-40B4-BE49-F238E27FC236}">
                <a16:creationId xmlns:a16="http://schemas.microsoft.com/office/drawing/2014/main" id="{00000000-0008-0000-0100-000038000000}"/>
              </a:ext>
            </a:extLst>
          </xdr:cNvPr>
          <xdr:cNvSpPr/>
        </xdr:nvSpPr>
        <xdr:spPr>
          <a:xfrm>
            <a:off x="514350" y="1103143"/>
            <a:ext cx="2654114" cy="897105"/>
          </a:xfrm>
          <a:custGeom>
            <a:avLst/>
            <a:gdLst>
              <a:gd name="connsiteX0" fmla="*/ 0 w 2686551"/>
              <a:gd name="connsiteY0" fmla="*/ 149228 h 895350"/>
              <a:gd name="connsiteX1" fmla="*/ 149228 w 2686551"/>
              <a:gd name="connsiteY1" fmla="*/ 0 h 895350"/>
              <a:gd name="connsiteX2" fmla="*/ 2537323 w 2686551"/>
              <a:gd name="connsiteY2" fmla="*/ 0 h 895350"/>
              <a:gd name="connsiteX3" fmla="*/ 2686551 w 2686551"/>
              <a:gd name="connsiteY3" fmla="*/ 149228 h 895350"/>
              <a:gd name="connsiteX4" fmla="*/ 2686551 w 2686551"/>
              <a:gd name="connsiteY4" fmla="*/ 746122 h 895350"/>
              <a:gd name="connsiteX5" fmla="*/ 2537323 w 2686551"/>
              <a:gd name="connsiteY5" fmla="*/ 895350 h 895350"/>
              <a:gd name="connsiteX6" fmla="*/ 149228 w 2686551"/>
              <a:gd name="connsiteY6" fmla="*/ 895350 h 895350"/>
              <a:gd name="connsiteX7" fmla="*/ 0 w 2686551"/>
              <a:gd name="connsiteY7" fmla="*/ 746122 h 895350"/>
              <a:gd name="connsiteX8" fmla="*/ 0 w 2686551"/>
              <a:gd name="connsiteY8" fmla="*/ 149228 h 895350"/>
              <a:gd name="connsiteX0" fmla="*/ 0 w 2686551"/>
              <a:gd name="connsiteY0" fmla="*/ 150034 h 896156"/>
              <a:gd name="connsiteX1" fmla="*/ 149228 w 2686551"/>
              <a:gd name="connsiteY1" fmla="*/ 806 h 896156"/>
              <a:gd name="connsiteX2" fmla="*/ 2537323 w 2686551"/>
              <a:gd name="connsiteY2" fmla="*/ 806 h 896156"/>
              <a:gd name="connsiteX3" fmla="*/ 2686551 w 2686551"/>
              <a:gd name="connsiteY3" fmla="*/ 69823 h 896156"/>
              <a:gd name="connsiteX4" fmla="*/ 2686551 w 2686551"/>
              <a:gd name="connsiteY4" fmla="*/ 746928 h 896156"/>
              <a:gd name="connsiteX5" fmla="*/ 2537323 w 2686551"/>
              <a:gd name="connsiteY5" fmla="*/ 896156 h 896156"/>
              <a:gd name="connsiteX6" fmla="*/ 149228 w 2686551"/>
              <a:gd name="connsiteY6" fmla="*/ 896156 h 896156"/>
              <a:gd name="connsiteX7" fmla="*/ 0 w 2686551"/>
              <a:gd name="connsiteY7" fmla="*/ 746928 h 896156"/>
              <a:gd name="connsiteX8" fmla="*/ 0 w 2686551"/>
              <a:gd name="connsiteY8" fmla="*/ 150034 h 896156"/>
              <a:gd name="connsiteX0" fmla="*/ 0 w 2686551"/>
              <a:gd name="connsiteY0" fmla="*/ 65760 h 897105"/>
              <a:gd name="connsiteX1" fmla="*/ 149228 w 2686551"/>
              <a:gd name="connsiteY1" fmla="*/ 1755 h 897105"/>
              <a:gd name="connsiteX2" fmla="*/ 2537323 w 2686551"/>
              <a:gd name="connsiteY2" fmla="*/ 1755 h 897105"/>
              <a:gd name="connsiteX3" fmla="*/ 2686551 w 2686551"/>
              <a:gd name="connsiteY3" fmla="*/ 70772 h 897105"/>
              <a:gd name="connsiteX4" fmla="*/ 2686551 w 2686551"/>
              <a:gd name="connsiteY4" fmla="*/ 747877 h 897105"/>
              <a:gd name="connsiteX5" fmla="*/ 2537323 w 2686551"/>
              <a:gd name="connsiteY5" fmla="*/ 897105 h 897105"/>
              <a:gd name="connsiteX6" fmla="*/ 149228 w 2686551"/>
              <a:gd name="connsiteY6" fmla="*/ 897105 h 897105"/>
              <a:gd name="connsiteX7" fmla="*/ 0 w 2686551"/>
              <a:gd name="connsiteY7" fmla="*/ 747877 h 897105"/>
              <a:gd name="connsiteX8" fmla="*/ 0 w 2686551"/>
              <a:gd name="connsiteY8" fmla="*/ 65760 h 89710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2686551" h="897105">
                <a:moveTo>
                  <a:pt x="0" y="65760"/>
                </a:moveTo>
                <a:cubicBezTo>
                  <a:pt x="0" y="-16656"/>
                  <a:pt x="66812" y="1755"/>
                  <a:pt x="149228" y="1755"/>
                </a:cubicBezTo>
                <a:lnTo>
                  <a:pt x="2537323" y="1755"/>
                </a:lnTo>
                <a:cubicBezTo>
                  <a:pt x="2619739" y="1755"/>
                  <a:pt x="2686551" y="-11644"/>
                  <a:pt x="2686551" y="70772"/>
                </a:cubicBezTo>
                <a:lnTo>
                  <a:pt x="2686551" y="747877"/>
                </a:lnTo>
                <a:cubicBezTo>
                  <a:pt x="2686551" y="830293"/>
                  <a:pt x="2619739" y="897105"/>
                  <a:pt x="2537323" y="897105"/>
                </a:cubicBezTo>
                <a:lnTo>
                  <a:pt x="149228" y="897105"/>
                </a:lnTo>
                <a:cubicBezTo>
                  <a:pt x="66812" y="897105"/>
                  <a:pt x="0" y="830293"/>
                  <a:pt x="0" y="747877"/>
                </a:cubicBezTo>
                <a:lnTo>
                  <a:pt x="0" y="65760"/>
                </a:lnTo>
                <a:close/>
              </a:path>
            </a:pathLst>
          </a:custGeom>
          <a:solidFill>
            <a:srgbClr val="7030A0">
              <a:alpha val="10196"/>
            </a:srgbClr>
          </a:solidFill>
          <a:ln w="19050">
            <a:solidFill>
              <a:srgbClr val="7030A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7" name="Retângulo: Cantos Arredondados 56">
            <a:extLst>
              <a:ext uri="{FF2B5EF4-FFF2-40B4-BE49-F238E27FC236}">
                <a16:creationId xmlns:a16="http://schemas.microsoft.com/office/drawing/2014/main" id="{00000000-0008-0000-0100-000039000000}"/>
              </a:ext>
            </a:extLst>
          </xdr:cNvPr>
          <xdr:cNvSpPr/>
        </xdr:nvSpPr>
        <xdr:spPr>
          <a:xfrm>
            <a:off x="511341" y="1095375"/>
            <a:ext cx="2657119" cy="342900"/>
          </a:xfrm>
          <a:prstGeom prst="roundRect">
            <a:avLst/>
          </a:prstGeom>
          <a:solidFill>
            <a:srgbClr val="7030A0">
              <a:alpha val="20000"/>
            </a:srgbClr>
          </a:solidFill>
          <a:ln>
            <a:solidFill>
              <a:srgbClr val="7030A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solidFill>
                  <a:sysClr val="windowText" lastClr="000000"/>
                </a:solidFill>
                <a:latin typeface="Cooper Black" panose="0208090404030B020404" pitchFamily="18" charset="0"/>
              </a:rPr>
              <a:t>DEFINA</a:t>
            </a:r>
            <a:r>
              <a:rPr lang="pt-BR" sz="1600" baseline="0">
                <a:solidFill>
                  <a:sysClr val="windowText" lastClr="000000"/>
                </a:solidFill>
                <a:latin typeface="Cooper Black" panose="0208090404030B020404" pitchFamily="18" charset="0"/>
              </a:rPr>
              <a:t> A META DIÁRIA</a:t>
            </a:r>
            <a:endParaRPr lang="pt-BR" sz="1600">
              <a:solidFill>
                <a:sysClr val="windowText" lastClr="000000"/>
              </a:solidFill>
              <a:latin typeface="Cooper Black" panose="0208090404030B020404" pitchFamily="18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</xdr:row>
          <xdr:rowOff>161925</xdr:rowOff>
        </xdr:from>
        <xdr:to>
          <xdr:col>7</xdr:col>
          <xdr:colOff>247650</xdr:colOff>
          <xdr:row>9</xdr:row>
          <xdr:rowOff>171450</xdr:rowOff>
        </xdr:to>
        <xdr:sp macro="" textlink="">
          <xdr:nvSpPr>
            <xdr:cNvPr id="1038" name="TextBox1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476250</xdr:colOff>
      <xdr:row>7</xdr:row>
      <xdr:rowOff>152400</xdr:rowOff>
    </xdr:from>
    <xdr:to>
      <xdr:col>9</xdr:col>
      <xdr:colOff>447675</xdr:colOff>
      <xdr:row>10</xdr:row>
      <xdr:rowOff>9525</xdr:rowOff>
    </xdr:to>
    <xdr:sp macro="[0]!updategraphic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4838700" y="1485900"/>
          <a:ext cx="1190625" cy="428625"/>
        </a:xfrm>
        <a:prstGeom prst="rect">
          <a:avLst/>
        </a:prstGeom>
        <a:solidFill>
          <a:srgbClr val="7030A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Cooper Black" panose="0208090404030B020404" pitchFamily="18" charset="0"/>
            </a:rPr>
            <a:t>DEFINIR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104775</xdr:rowOff>
    </xdr:from>
    <xdr:to>
      <xdr:col>2</xdr:col>
      <xdr:colOff>602524</xdr:colOff>
      <xdr:row>5</xdr:row>
      <xdr:rowOff>142875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377" b="21679"/>
        <a:stretch/>
      </xdr:blipFill>
      <xdr:spPr>
        <a:xfrm>
          <a:off x="28575" y="104775"/>
          <a:ext cx="1793149" cy="1028700"/>
        </a:xfrm>
        <a:prstGeom prst="rect">
          <a:avLst/>
        </a:prstGeom>
      </xdr:spPr>
    </xdr:pic>
    <xdr:clientData/>
  </xdr:twoCellAnchor>
  <xdr:twoCellAnchor>
    <xdr:from>
      <xdr:col>0</xdr:col>
      <xdr:colOff>38100</xdr:colOff>
      <xdr:row>6</xdr:row>
      <xdr:rowOff>104775</xdr:rowOff>
    </xdr:from>
    <xdr:to>
      <xdr:col>2</xdr:col>
      <xdr:colOff>523875</xdr:colOff>
      <xdr:row>10</xdr:row>
      <xdr:rowOff>57150</xdr:rowOff>
    </xdr:to>
    <xdr:sp macro="[0]!openComanda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8100" y="1285875"/>
          <a:ext cx="1704975" cy="723900"/>
        </a:xfrm>
        <a:prstGeom prst="rect">
          <a:avLst/>
        </a:prstGeom>
        <a:solidFill>
          <a:srgbClr val="7030A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NOVA COMANDA</a:t>
          </a:r>
        </a:p>
      </xdr:txBody>
    </xdr:sp>
    <xdr:clientData/>
  </xdr:twoCellAnchor>
  <xdr:twoCellAnchor>
    <xdr:from>
      <xdr:col>0</xdr:col>
      <xdr:colOff>47625</xdr:colOff>
      <xdr:row>10</xdr:row>
      <xdr:rowOff>114300</xdr:rowOff>
    </xdr:from>
    <xdr:to>
      <xdr:col>2</xdr:col>
      <xdr:colOff>533400</xdr:colOff>
      <xdr:row>14</xdr:row>
      <xdr:rowOff>76200</xdr:rowOff>
    </xdr:to>
    <xdr:sp macro="[0]!openNewCombo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2066925"/>
          <a:ext cx="1704975" cy="723900"/>
        </a:xfrm>
        <a:prstGeom prst="rect">
          <a:avLst/>
        </a:prstGeom>
        <a:solidFill>
          <a:srgbClr val="7030A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NOVO ITEM</a:t>
          </a:r>
        </a:p>
      </xdr:txBody>
    </xdr:sp>
    <xdr:clientData/>
  </xdr:twoCellAnchor>
  <xdr:twoCellAnchor>
    <xdr:from>
      <xdr:col>0</xdr:col>
      <xdr:colOff>47625</xdr:colOff>
      <xdr:row>14</xdr:row>
      <xdr:rowOff>142875</xdr:rowOff>
    </xdr:from>
    <xdr:to>
      <xdr:col>2</xdr:col>
      <xdr:colOff>533400</xdr:colOff>
      <xdr:row>18</xdr:row>
      <xdr:rowOff>104775</xdr:rowOff>
    </xdr:to>
    <xdr:sp macro="[0]!openDeleteitem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47625" y="2857500"/>
          <a:ext cx="1704975" cy="723900"/>
        </a:xfrm>
        <a:prstGeom prst="rect">
          <a:avLst/>
        </a:prstGeom>
        <a:solidFill>
          <a:srgbClr val="7030A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EXCLUIR</a:t>
          </a:r>
          <a:r>
            <a:rPr lang="pt-BR" sz="2000" b="1" baseline="0"/>
            <a:t> ITEM</a:t>
          </a:r>
          <a:endParaRPr lang="pt-BR" sz="2000" b="1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elipe Nunes" refreshedDate="44430.517017245373" backgroundQuery="1" createdVersion="7" refreshedVersion="7" minRefreshableVersion="3" recordCount="0" supportSubquery="1" supportAdvancedDrill="1" xr:uid="{07A57DFD-EA8C-4F3E-AAA0-987CFB0B1B5F}">
  <cacheSource type="external" connectionId="1"/>
  <cacheFields count="2">
    <cacheField name="[tb_Comandas].[Adicional].[Adicional]" caption="Adicional" numFmtId="0" hierarchy="1" level="1">
      <sharedItems count="50">
        <s v="Abacaxi"/>
        <s v="Aveia"/>
        <s v="Bairro"/>
        <s v="Banana"/>
        <s v="Batom"/>
        <s v="Beijinho"/>
        <s v="Bis"/>
        <s v="Brigadeiro"/>
        <s v="Calda de caramelo"/>
        <s v="Calda de Chocolate"/>
        <s v="Calda de morango"/>
        <s v="Cartão"/>
        <s v="Chokito"/>
        <s v="Coco em flocos"/>
        <s v="Creme de morango"/>
        <s v="Diamante negro"/>
        <s v="Dinheiro"/>
        <s v="Disquete"/>
        <s v="Farinha láctea"/>
        <s v="Gotas de chocolate"/>
        <s v="Granola"/>
        <s v="Granulado"/>
        <s v="Kitkat"/>
        <s v="Laka"/>
        <s v="Leite condensado"/>
        <s v="Leite em pó"/>
        <s v="Manga"/>
        <s v="Mel"/>
        <s v="Morango"/>
        <s v="Mousse de chocolate"/>
        <s v="Mousse de limão"/>
        <s v="Mousse de maracujá"/>
        <s v="Mousse de morango"/>
        <s v="Nescau cereal"/>
        <s v="Nutella"/>
        <s v="Online"/>
        <s v="Oreo"/>
        <s v="Ouro branco"/>
        <s v="Ovomaltine"/>
        <s v="Paçoca"/>
        <s v="PIX"/>
        <s v="Power ball"/>
        <s v="Prestigio"/>
        <s v="Raspas de chocolate"/>
        <s v="S. Forma"/>
        <s v="Sonho de valsa"/>
        <s v="Sorvete"/>
        <s v="Sucrilhos"/>
        <s v="Trufa de chocolate"/>
        <s v="Whey protein"/>
      </sharedItems>
    </cacheField>
    <cacheField name="[Measures].[Soma de Total]" caption="Soma de Total" numFmtId="0" hierarchy="12" level="32767"/>
  </cacheFields>
  <cacheHierarchies count="13">
    <cacheHierarchy uniqueName="[tb_Comandas].[Categoria]" caption="Categoria" attribute="1" defaultMemberUniqueName="[tb_Comandas].[Categoria].[All]" allUniqueName="[tb_Comandas].[Categoria].[All]" dimensionUniqueName="[tb_Comandas]" displayFolder="" count="2" memberValueDatatype="130" unbalanced="0"/>
    <cacheHierarchy uniqueName="[tb_Comandas].[Adicional]" caption="Adicional" attribute="1" defaultMemberUniqueName="[tb_Comandas].[Adicional].[All]" allUniqueName="[tb_Comandas].[Adicional].[All]" dimensionUniqueName="[tb_Comandas]" displayFolder="" count="2" memberValueDatatype="130" unbalanced="0">
      <fieldsUsage count="2">
        <fieldUsage x="-1"/>
        <fieldUsage x="0"/>
      </fieldsUsage>
    </cacheHierarchy>
    <cacheHierarchy uniqueName="[tb_Comandas].[Explosão]" caption="Explosão" attribute="1" defaultMemberUniqueName="[tb_Comandas].[Explosão].[All]" allUniqueName="[tb_Comandas].[Explosão].[All]" dimensionUniqueName="[tb_Comandas]" displayFolder="" count="0" memberValueDatatype="130" unbalanced="0"/>
    <cacheHierarchy uniqueName="[tb_Comandas].[DuBom]" caption="DuBom" attribute="1" defaultMemberUniqueName="[tb_Comandas].[DuBom].[All]" allUniqueName="[tb_Comandas].[DuBom].[All]" dimensionUniqueName="[tb_Comandas]" displayFolder="" count="0" memberValueDatatype="130" unbalanced="0"/>
    <cacheHierarchy uniqueName="[tb_Comandas].[Açaí Puro]" caption="Açaí Puro" attribute="1" defaultMemberUniqueName="[tb_Comandas].[Açaí Puro].[All]" allUniqueName="[tb_Comandas].[Açaí Puro].[All]" dimensionUniqueName="[tb_Comandas]" displayFolder="" count="0" memberValueDatatype="130" unbalanced="0"/>
    <cacheHierarchy uniqueName="[tb_Comandas].[Clássico]" caption="Clássico" attribute="1" defaultMemberUniqueName="[tb_Comandas].[Clássico].[All]" allUniqueName="[tb_Comandas].[Clássico].[All]" dimensionUniqueName="[tb_Comandas]" displayFolder="" count="0" memberValueDatatype="130" unbalanced="0"/>
    <cacheHierarchy uniqueName="[tb_Comandas].[Coluna51]" caption="Coluna51" attribute="1" defaultMemberUniqueName="[tb_Comandas].[Coluna51].[All]" allUniqueName="[tb_Comandas].[Coluna51].[All]" dimensionUniqueName="[tb_Comandas]" displayFolder="" count="0" memberValueDatatype="130" unbalanced="0"/>
    <cacheHierarchy uniqueName="[tb_Comandas].[_11]" caption="_11" attribute="1" defaultMemberUniqueName="[tb_Comandas].[_11].[All]" allUniqueName="[tb_Comandas].[_11].[All]" dimensionUniqueName="[tb_Comandas]" displayFolder="" count="0" memberValueDatatype="130" unbalanced="0"/>
    <cacheHierarchy uniqueName="[tb_Comandas].[Total]" caption="Total" attribute="1" defaultMemberUniqueName="[tb_Comandas].[Total].[All]" allUniqueName="[tb_Comandas].[Total].[All]" dimensionUniqueName="[tb_Comandas]" displayFolder="" count="0" memberValueDatatype="20" unbalanced="0"/>
    <cacheHierarchy uniqueName="[Measures].[__XL_Count tb_Comandas]" caption="__XL_Count tb_Comandas" measure="1" displayFolder="" measureGroup="tb_Comandas" count="0" hidden="1"/>
    <cacheHierarchy uniqueName="[Measures].[__No measures defined]" caption="__No measures defined" measure="1" displayFolder="" count="0" hidden="1"/>
    <cacheHierarchy uniqueName="[Measures].[Soma de Açaí Puro]" caption="Soma de Açaí Puro" measure="1" displayFolder="" measureGroup="tb_Comanda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oma de Total]" caption="Soma de Total" measure="1" displayFolder="" measureGroup="tb_Comanda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2">
    <dimension measure="1" name="Measures" uniqueName="[Measures]" caption="Measures"/>
    <dimension name="tb_Comandas" uniqueName="[tb_Comandas]" caption="tb_Comandas"/>
  </dimensions>
  <measureGroups count="1">
    <measureGroup name="tb_Comandas" caption="tb_Comanda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6E69F6-566B-4E33-AD30-443E07443074}" name="Tabela dinâmica2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">
  <location ref="A3:B54" firstHeaderRow="1" firstDataRow="1" firstDataCol="1"/>
  <pivotFields count="2">
    <pivotField axis="axisRow" allDrilled="1" showAll="0" dataSourceSort="1" defaultAttributeDrillState="1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t="default"/>
      </items>
    </pivotField>
    <pivotField dataField="1" subtotalTop="0" showAll="0" defaultSubtotal="0"/>
  </pivotFields>
  <rowFields count="1">
    <field x="0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Soma de Total" fld="1" baseField="0" baseItem="0"/>
  </dataFields>
  <pivotHierarchies count="1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BALANÇO DIÁRIO AÇAÍ DUBOM v2.xlsm!tb_Comandas">
        <x15:activeTabTopLevelEntity name="[tb_Coma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918A4C-D360-4B69-9441-06810FA4860A}" name="tbBairroDash" displayName="tbBairroDash" ref="D3:E31" totalsRowShown="0" dataDxfId="148" tableBorderDxfId="147">
  <autoFilter ref="D3:E31" xr:uid="{B8918A4C-D360-4B69-9441-06810FA4860A}"/>
  <sortState xmlns:xlrd2="http://schemas.microsoft.com/office/spreadsheetml/2017/richdata2" ref="D4:E31">
    <sortCondition descending="1" ref="E3:E31"/>
  </sortState>
  <tableColumns count="2">
    <tableColumn id="1" xr3:uid="{AE0FC8E4-4581-48BB-BF38-AE72383BF36B}" name="Bairro" dataDxfId="146"/>
    <tableColumn id="2" xr3:uid="{5E9F661A-923D-46A0-BA20-E2ABC504AB39}" name="Total" dataDxfId="145">
      <calculatedColumnFormula>COUNTIF(Comandas!$D$54:$AP$54,tbBairroDash[[#This Row],[Bairro]])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C17365A-456E-438D-AF24-03DD87F2B6ED}" name="tbCombosDash" displayName="tbCombosDash" ref="G3:H25" totalsRowShown="0" headerRowDxfId="144" dataDxfId="143">
  <autoFilter ref="G3:H25" xr:uid="{BC17365A-456E-438D-AF24-03DD87F2B6ED}"/>
  <sortState xmlns:xlrd2="http://schemas.microsoft.com/office/spreadsheetml/2017/richdata2" ref="G4:H25">
    <sortCondition descending="1" ref="H3:H25"/>
  </sortState>
  <tableColumns count="2">
    <tableColumn id="1" xr3:uid="{A4C0CDCC-6054-473C-A8C1-D9C76C8958A2}" name="Combo" dataDxfId="142"/>
    <tableColumn id="2" xr3:uid="{79CB3ADB-B9DC-45D4-8AC0-36E16391F1C5}" name="Total" dataDxfId="141">
      <calculatedColumnFormula>COUNTIF(tb_Comandas[#Headers],tbCombosDash[[#This Row],[Combo]])</calculatedColumnFormula>
    </tableColumn>
  </tableColumns>
  <tableStyleInfo name="Estilo de Tabela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7B92907-BFEB-48C6-9DD9-465CC2BB881C}" name="Tabela11" displayName="Tabela11" ref="J3:K8" totalsRowShown="0" headerRowDxfId="140" dataDxfId="139">
  <autoFilter ref="J3:K8" xr:uid="{47B92907-BFEB-48C6-9DD9-465CC2BB881C}"/>
  <sortState xmlns:xlrd2="http://schemas.microsoft.com/office/spreadsheetml/2017/richdata2" ref="J4:K8">
    <sortCondition ref="K3:K8"/>
  </sortState>
  <tableColumns count="2">
    <tableColumn id="1" xr3:uid="{35D4272E-B487-4ADC-A1EF-E43BFDE5F508}" name="FORMAPAGAMENTO" dataDxfId="138"/>
    <tableColumn id="2" xr3:uid="{92F707FC-F643-4215-80F5-7CED5242DEA2}" name="TOTAL" dataDxfId="137">
      <calculatedColumnFormula>VLOOKUP(Tabela11[[#This Row],[FORMAPAGAMENTO]],tb_Comandas[[Adicional]:[Total]],$K$2,FALSE)</calculatedColumnFormula>
    </tableColumn>
  </tableColumns>
  <tableStyleInfo name="Estilo de Tabe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7D25372-109F-4AA2-90ED-43F00A7BDE07}" name="tb_Comandas" displayName="tb_Comandas" ref="D4:AP54" totalsRowShown="0" headerRowBorderDxfId="136" tableBorderDxfId="135">
  <autoFilter ref="D4:AP54" xr:uid="{87D25372-109F-4AA2-90ED-43F00A7BDE07}"/>
  <tableColumns count="39">
    <tableColumn id="1" xr3:uid="{32E40CB3-7AB0-490F-B780-D1132B2E41C5}" name="Categoria" dataDxfId="134" totalsRowDxfId="133"/>
    <tableColumn id="2" xr3:uid="{4E4858EE-A764-465A-A864-BD5968090967}" name="Adicional" dataDxfId="132" totalsRowDxfId="131"/>
    <tableColumn id="6" xr3:uid="{BBE5E03C-33F8-4599-88B0-09DF0F5DFA4A}" name="Explosão" dataDxfId="130" totalsRowDxfId="129"/>
    <tableColumn id="7" xr3:uid="{CA04060B-031C-42DE-B3E6-87468D4D908B}" name="DuBom" dataDxfId="128" totalsRowDxfId="127"/>
    <tableColumn id="9" xr3:uid="{77065127-7544-43E4-AE70-0725E7063269}" name="Açaí Puro" dataDxfId="126" totalsRowDxfId="125"/>
    <tableColumn id="10" xr3:uid="{9307B6AA-8174-4F44-A1E0-2C22176F849A}" name="Clássico" dataDxfId="124" totalsRowDxfId="123"/>
    <tableColumn id="11" xr3:uid="{64ABE828-9956-4804-8CB0-8FCB998F12C9}" name="Doce Paixão" dataDxfId="122" totalsRowDxfId="121"/>
    <tableColumn id="12" xr3:uid="{AFEE846B-9BCE-49A7-9809-3B47DB54BB0B}" name="DuBom2" dataDxfId="120" totalsRowDxfId="119"/>
    <tableColumn id="13" xr3:uid="{30674FB5-14BE-4930-AD33-A41255C02578}" name="Mix Tropical" dataDxfId="118" totalsRowDxfId="117"/>
    <tableColumn id="14" xr3:uid="{CE5F7D4C-4C7C-4F7D-9E73-87F02ED57B95}" name="Beijinho" dataDxfId="116" totalsRowDxfId="115"/>
    <tableColumn id="15" xr3:uid="{E360CE56-55F3-4796-A958-BF2AA7CA9C5F}" name="Sonho de Valsa" dataDxfId="114" totalsRowDxfId="113"/>
    <tableColumn id="16" xr3:uid="{4B88A092-C604-4B1E-A61B-7648C518E819}" name="Liberdade" dataDxfId="112" totalsRowDxfId="111"/>
    <tableColumn id="17" xr3:uid="{367DF5F5-52C4-45B6-A97A-10705A12BD29}" name="Fit" dataDxfId="110" totalsRowDxfId="109"/>
    <tableColumn id="18" xr3:uid="{3B22C2EE-6831-4B5D-8D26-31A525AF404D}" name="Diamante Negro" dataDxfId="108" totalsRowDxfId="107"/>
    <tableColumn id="19" xr3:uid="{E097791B-C906-4FAE-8869-197EBF3CD38E}" name="Açaí Puro2" dataDxfId="106" totalsRowDxfId="105"/>
    <tableColumn id="3" xr3:uid="{5A133A24-D0A8-4B17-BF5B-BA49A6501E5E}" name="Açaí Puro3" dataDxfId="104" totalsRowDxfId="103"/>
    <tableColumn id="4" xr3:uid="{91898DBD-080F-4AA1-B22B-7481FD0D7881}" name="Clássico2" dataDxfId="102" totalsRowDxfId="101"/>
    <tableColumn id="5" xr3:uid="{77330A00-E8B4-4DF9-B658-BE16646CC0B1}" name="Irresistível" dataDxfId="100" totalsRowDxfId="99"/>
    <tableColumn id="20" xr3:uid="{BA1076BA-4DC8-485B-8B7A-BB9BC6061881}" name="Irresistível2" dataDxfId="98" totalsRowDxfId="97"/>
    <tableColumn id="21" xr3:uid="{046B1A16-3AD8-464F-B993-52E7EE322272}" name="Chokito" dataDxfId="96" totalsRowDxfId="95"/>
    <tableColumn id="22" xr3:uid="{AE073871-9A10-4B53-B9C9-37AEACC5990B}" name="Açaí Puro4" dataDxfId="94" totalsRowDxfId="93"/>
    <tableColumn id="23" xr3:uid="{9AE0A322-07D4-4386-A909-DBAED689142D}" name="Açaí Puro5" dataDxfId="92" totalsRowDxfId="91"/>
    <tableColumn id="24" xr3:uid="{C295AF70-C089-4EBE-8E71-4C82E1ADF785}" name="Açaí Puro6" dataDxfId="90" totalsRowDxfId="89"/>
    <tableColumn id="25" xr3:uid="{6FA05E60-A6C7-4484-AB34-AEAE07F3DA39}" name="Açaí Puro7" dataDxfId="88" totalsRowDxfId="87"/>
    <tableColumn id="27" xr3:uid="{5417B689-695E-422C-B7D6-B3B737E4586F}" name="Baton" dataDxfId="86" totalsRowDxfId="85"/>
    <tableColumn id="28" xr3:uid="{A39300FB-9C73-480C-95C7-6BFA4CDF5304}" name="Baton2" dataDxfId="84" totalsRowDxfId="83"/>
    <tableColumn id="29" xr3:uid="{F7CED526-A218-47DD-93F0-0044E3C2C564}" name="Baton3" dataDxfId="82" totalsRowDxfId="81"/>
    <tableColumn id="31" xr3:uid="{70385825-FEFD-43E9-B911-84E651CF7F3F}" name="Trufado" dataDxfId="80" totalsRowDxfId="79"/>
    <tableColumn id="32" xr3:uid="{18665813-05B5-4F97-8329-33A182B17F54}" name="DuBom3" dataDxfId="78" totalsRowDxfId="77"/>
    <tableColumn id="30" xr3:uid="{4301C10F-DDD9-4451-9A4C-E4C3F22CA86A}" name="Ouro Branco" dataDxfId="76" totalsRowDxfId="75" dataCellStyle="Moeda"/>
    <tableColumn id="33" xr3:uid="{6B34E2C4-8C3E-483F-9674-4798178B6388}" name="DuBom4" dataDxfId="74" totalsRowDxfId="73" dataCellStyle="Moeda"/>
    <tableColumn id="34" xr3:uid="{198EE141-8DE2-42EB-B66F-8C41AA941D42}" name="Diamante Negro2" dataDxfId="72" totalsRowDxfId="71" dataCellStyle="Moeda"/>
    <tableColumn id="35" xr3:uid="{40BC7B4D-4E32-4284-B757-E826AEFFC7C4}" name="Irresistível3" dataDxfId="70" totalsRowDxfId="69" dataCellStyle="Moeda"/>
    <tableColumn id="36" xr3:uid="{FBA34CA3-077F-447A-96C8-1495FFEF9CE2}" name="Irresistível4" dataDxfId="68" totalsRowDxfId="67" dataCellStyle="Moeda"/>
    <tableColumn id="37" xr3:uid="{ED8DE07B-A044-474C-83A4-1B810D7C7EC9}" name="Irresistível5" dataDxfId="66" totalsRowDxfId="65" dataCellStyle="Moeda"/>
    <tableColumn id="38" xr3:uid="{24C2BE7C-83C4-43A1-AD1E-1A960B84FE37}" name="Irresistível6" dataDxfId="64" totalsRowDxfId="63" dataCellStyle="Moeda"/>
    <tableColumn id="40" xr3:uid="{606499D4-93E0-41CE-AC48-9E3A6634DE99}" name="Coluna19" dataDxfId="62" totalsRowDxfId="61" dataCellStyle="Moeda"/>
    <tableColumn id="26" xr3:uid="{B3C9C655-115F-4DF3-B3B7-41A1A49C47A3}" name="Fim2" dataDxfId="60" totalsRowDxfId="59"/>
    <tableColumn id="8" xr3:uid="{0E325256-A72D-4B13-AB8E-A678977B33B0}" name="Total" dataDxfId="58" totalsRowDxfId="57">
      <calculatedColumnFormula>COUNTA(F5:AO5)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CC1C6C-FB2E-46BF-BAFC-471110AC460D}" name="tb_Combos" displayName="tb_Combos" ref="E4:AB48" totalsRowShown="0" headerRowBorderDxfId="56" tableBorderDxfId="55">
  <autoFilter ref="E4:AB48" xr:uid="{87D25372-109F-4AA2-90ED-43F00A7BDE07}"/>
  <tableColumns count="24">
    <tableColumn id="1" xr3:uid="{428B7161-D3CF-477E-B924-6DEF15FE4551}" name="Categoria" dataDxfId="54" totalsRowDxfId="53"/>
    <tableColumn id="2" xr3:uid="{8699C1CA-1907-402F-B814-558457CAF78B}" name="Adicional" dataDxfId="52" totalsRowDxfId="51"/>
    <tableColumn id="28" xr3:uid="{E6BA02F1-2009-4231-84DC-CF40683F4CDA}" name="Açaí Puro" dataDxfId="50"/>
    <tableColumn id="29" xr3:uid="{717794AB-E2C7-406C-BA67-31697F870552}" name="Clássico" dataDxfId="49"/>
    <tableColumn id="30" xr3:uid="{C806FBD0-7ACB-4EB8-ABCF-4D6DA588FAB7}" name="Doce Paixão" dataDxfId="48"/>
    <tableColumn id="31" xr3:uid="{FE543E1B-B2BA-4358-9937-31481DFAC0B7}" name="DuBom" dataDxfId="47"/>
    <tableColumn id="32" xr3:uid="{DA99B78E-AD92-484A-A25F-64CF85BA2FC3}" name="Explosão" dataDxfId="46"/>
    <tableColumn id="33" xr3:uid="{9DE06218-44CB-4253-A6DA-815123A5598C}" name="Mix Tropical" dataDxfId="45"/>
    <tableColumn id="34" xr3:uid="{D1D4F6A5-90DA-4C9B-A69F-BF428D0CF348}" name="Tentação" dataDxfId="44"/>
    <tableColumn id="35" xr3:uid="{002FF4D2-E1BA-40B9-955B-E1FF262965EB}" name="Sonho de Valsa" dataDxfId="43"/>
    <tableColumn id="36" xr3:uid="{FDD35E21-1ADF-4E91-8518-4C99C62F27CB}" name="KitKat" dataDxfId="42"/>
    <tableColumn id="37" xr3:uid="{AB607558-A5F0-4976-95AA-3B4B26EC49C4}" name="Beijinho" dataDxfId="41"/>
    <tableColumn id="38" xr3:uid="{FFEC2ADB-78D5-4206-AC8A-721866641D30}" name="Brigadeiro" dataDxfId="40"/>
    <tableColumn id="39" xr3:uid="{2F3910D7-C23A-427F-9F3C-A75190A5EF81}" name="Chokito" dataDxfId="39"/>
    <tableColumn id="40" xr3:uid="{93AC3F1B-C83E-44FE-A12E-357E6008F60F}" name="Prestigio" dataDxfId="38"/>
    <tableColumn id="41" xr3:uid="{FACA6B31-46C4-478A-8EF5-30EDF47FBEDB}" name="Ouro Branco" dataDxfId="37"/>
    <tableColumn id="42" xr3:uid="{4591E2FB-F165-49E9-8679-AECB3808E207}" name="Oreo" dataDxfId="36"/>
    <tableColumn id="43" xr3:uid="{0F84CFD5-39DA-454E-B090-B1D7748596D4}" name="Trufado" dataDxfId="35"/>
    <tableColumn id="44" xr3:uid="{4EA60108-9AE6-4913-92E2-E1DD256B2D61}" name="Diamante Negro" dataDxfId="34"/>
    <tableColumn id="45" xr3:uid="{0A85139E-7618-4B79-AC5D-DF9E644F9324}" name="Baton" dataDxfId="33"/>
    <tableColumn id="46" xr3:uid="{609ED06E-8F4E-4004-B1F9-E3BB8ED8D580}" name="Laka" dataDxfId="32"/>
    <tableColumn id="47" xr3:uid="{EA7A8FD8-DAFF-4290-97E5-08519D1A8C7A}" name="Fit" dataDxfId="31"/>
    <tableColumn id="48" xr3:uid="{D65C8042-787F-4517-B1D2-637CD2045B45}" name="Irresistível" dataDxfId="30"/>
    <tableColumn id="49" xr3:uid="{8D400C46-1102-4C51-A947-722296EFCFB9}" name="Liberdade" dataDxfId="29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649F3D-6933-4115-8F9A-68C2703964A9}" name="tbNomes" displayName="tbNomes" ref="L2:M46" totalsRowShown="0" headerRowDxfId="28" dataDxfId="26" headerRowBorderDxfId="27" tableBorderDxfId="25">
  <autoFilter ref="L2:M46" xr:uid="{C8649F3D-6933-4115-8F9A-68C2703964A9}"/>
  <sortState xmlns:xlrd2="http://schemas.microsoft.com/office/spreadsheetml/2017/richdata2" ref="L3:M46">
    <sortCondition ref="M2:M46"/>
  </sortState>
  <tableColumns count="2">
    <tableColumn id="1" xr3:uid="{D2D23CA1-54BE-4BA0-941B-DED448A3569B}" name="Nomes CPU" dataDxfId="24"/>
    <tableColumn id="2" xr3:uid="{3D486466-3A25-4DA7-97ED-1986FAE2FF8E}" name="Nomes Comanda" dataDxfId="23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EAFDA45-B374-4851-BECF-D2327D497ABE}" name="tbFormaPagamento" displayName="tbFormaPagamento" ref="D2:D7" totalsRowShown="0" headerRowDxfId="22" dataDxfId="20" headerRowBorderDxfId="21" tableBorderDxfId="19" totalsRowBorderDxfId="18">
  <autoFilter ref="D2:D7" xr:uid="{1EAFDA45-B374-4851-BECF-D2327D497ABE}"/>
  <tableColumns count="1">
    <tableColumn id="1" xr3:uid="{125766C9-00C5-4AC8-83EB-B1D291B49F05}" name="Forma de Pagamento" dataDxfId="17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B22916D-956C-41FF-8689-EA1524C4378F}" name="tbCombo" displayName="tbCombo" ref="F2:F24" totalsRowShown="0" headerRowDxfId="16" dataDxfId="14" headerRowBorderDxfId="15" tableBorderDxfId="13">
  <autoFilter ref="F2:F24" xr:uid="{EB22916D-956C-41FF-8689-EA1524C4378F}"/>
  <tableColumns count="1">
    <tableColumn id="1" xr3:uid="{6C5BE504-3306-4BA1-993B-D734406891DB}" name="Combo" dataDxfId="12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B96A0C1-CF9E-4973-B47A-B4BE9F36B00D}" name="tbBairro" displayName="tbBairro" ref="H2:H30" totalsRowShown="0" headerRowDxfId="11" dataDxfId="10" tableBorderDxfId="9">
  <autoFilter ref="H2:H30" xr:uid="{9B96A0C1-CF9E-4973-B47A-B4BE9F36B00D}"/>
  <tableColumns count="1">
    <tableColumn id="1" xr3:uid="{96301671-2572-4C9F-947D-7449DDCF6E41}" name="Bairro" dataDxfId="8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B558EA4-B0B4-4D9C-9267-BAD65B33246A}" name="tbCategoria" displayName="tbCategoria" ref="J2:J8" totalsRowShown="0" headerRowDxfId="7" dataDxfId="6" tableBorderDxfId="5">
  <autoFilter ref="J2:J8" xr:uid="{2B558EA4-B0B4-4D9C-9267-BAD65B33246A}"/>
  <tableColumns count="1">
    <tableColumn id="1" xr3:uid="{5A4D4272-C761-48B3-A95C-105344889B9B}" name="Categorias" dataDxfId="4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4D8EEEF-799B-4276-B739-A3D297933A0A}" name="Tabela8" displayName="Tabela8" ref="B2:B6" totalsRowShown="0" headerRowDxfId="3" dataDxfId="2" tableBorderDxfId="1">
  <autoFilter ref="B2:B6" xr:uid="{D4D8EEEF-799B-4276-B739-A3D297933A0A}"/>
  <tableColumns count="1">
    <tableColumn id="1" xr3:uid="{96428056-41D1-48A5-9499-03EF80B940BC}" name="Tamanho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F3C87-64C8-4A27-A65A-20ED25A70DA7}">
  <sheetPr codeName="p_Dados"/>
  <dimension ref="A2:Q54"/>
  <sheetViews>
    <sheetView topLeftCell="D1" workbookViewId="0">
      <selection activeCell="D4" sqref="D4:E31"/>
    </sheetView>
  </sheetViews>
  <sheetFormatPr defaultRowHeight="15" x14ac:dyDescent="0.25"/>
  <cols>
    <col min="1" max="1" width="19.85546875" bestFit="1" customWidth="1"/>
    <col min="2" max="2" width="13.5703125" bestFit="1" customWidth="1"/>
    <col min="4" max="4" width="21.7109375" bestFit="1" customWidth="1"/>
    <col min="7" max="7" width="15.5703125" bestFit="1" customWidth="1"/>
    <col min="10" max="10" width="21.28515625" customWidth="1"/>
    <col min="14" max="14" width="12.140625" bestFit="1" customWidth="1"/>
    <col min="15" max="15" width="10.7109375" bestFit="1" customWidth="1"/>
  </cols>
  <sheetData>
    <row r="2" spans="1:17" x14ac:dyDescent="0.25">
      <c r="K2">
        <v>38</v>
      </c>
      <c r="M2" s="53" t="s">
        <v>205</v>
      </c>
      <c r="N2" s="53"/>
      <c r="O2" s="53"/>
    </row>
    <row r="3" spans="1:17" x14ac:dyDescent="0.25">
      <c r="A3" s="29" t="s">
        <v>168</v>
      </c>
      <c r="B3" t="s">
        <v>170</v>
      </c>
      <c r="D3" s="34" t="s">
        <v>43</v>
      </c>
      <c r="E3" s="34" t="s">
        <v>44</v>
      </c>
      <c r="G3" s="32" t="s">
        <v>65</v>
      </c>
      <c r="H3" s="32" t="s">
        <v>44</v>
      </c>
      <c r="J3" s="32" t="s">
        <v>187</v>
      </c>
      <c r="K3" s="32" t="s">
        <v>188</v>
      </c>
      <c r="M3" s="44" t="s">
        <v>198</v>
      </c>
      <c r="N3" s="44" t="s">
        <v>199</v>
      </c>
      <c r="O3" s="52" t="s">
        <v>204</v>
      </c>
    </row>
    <row r="4" spans="1:17" x14ac:dyDescent="0.25">
      <c r="A4" s="30" t="s">
        <v>4</v>
      </c>
      <c r="B4" s="31">
        <v>0</v>
      </c>
      <c r="D4" s="35" t="s">
        <v>68</v>
      </c>
      <c r="E4" s="35">
        <f>COUNTIF(Comandas!$D$54:$AP$54,tbBairroDash[[#This Row],[Bairro]])</f>
        <v>7</v>
      </c>
      <c r="G4" s="19" t="s">
        <v>47</v>
      </c>
      <c r="H4" s="33">
        <v>7</v>
      </c>
      <c r="J4" s="33" t="s">
        <v>41</v>
      </c>
      <c r="K4" s="32">
        <f>VLOOKUP(Tabela11[[#This Row],[FORMAPAGAMENTO]],tb_Comandas[[Adicional]:[Total]],$K$2,FALSE)</f>
        <v>1</v>
      </c>
      <c r="M4" s="44" t="s">
        <v>200</v>
      </c>
      <c r="N4" s="45">
        <f>$N$8*0.25</f>
        <v>275</v>
      </c>
      <c r="O4" s="50">
        <f>N4/$N$8</f>
        <v>0.25</v>
      </c>
      <c r="Q4" s="51"/>
    </row>
    <row r="5" spans="1:17" x14ac:dyDescent="0.25">
      <c r="A5" s="30" t="s">
        <v>13</v>
      </c>
      <c r="B5" s="31">
        <v>1</v>
      </c>
      <c r="D5" s="35" t="s">
        <v>67</v>
      </c>
      <c r="E5" s="35">
        <f>COUNTIF(Comandas!$D$54:$AP$54,tbBairroDash[[#This Row],[Bairro]])</f>
        <v>5</v>
      </c>
      <c r="G5" s="17" t="s">
        <v>57</v>
      </c>
      <c r="H5" s="33">
        <v>6</v>
      </c>
      <c r="J5" s="33" t="s">
        <v>40</v>
      </c>
      <c r="K5" s="32">
        <f>VLOOKUP(Tabela11[[#This Row],[FORMAPAGAMENTO]],tb_Comandas[[Adicional]:[Total]],$K$2,FALSE)</f>
        <v>4</v>
      </c>
      <c r="M5" s="44" t="s">
        <v>201</v>
      </c>
      <c r="N5" s="45">
        <f t="shared" ref="N5:N7" si="0">$N$8*0.25</f>
        <v>275</v>
      </c>
      <c r="O5" s="50">
        <f>SUM($N$4:N5)/$N$8</f>
        <v>0.5</v>
      </c>
    </row>
    <row r="6" spans="1:17" x14ac:dyDescent="0.25">
      <c r="A6" s="30" t="s">
        <v>43</v>
      </c>
      <c r="B6" s="31">
        <v>4</v>
      </c>
      <c r="D6" s="35" t="s">
        <v>90</v>
      </c>
      <c r="E6" s="35">
        <f>COUNTIF(Comandas!$D$54:$AP$54,tbBairroDash[[#This Row],[Bairro]])</f>
        <v>4</v>
      </c>
      <c r="G6" s="17" t="s">
        <v>50</v>
      </c>
      <c r="H6" s="33">
        <v>4</v>
      </c>
      <c r="J6" s="33" t="s">
        <v>39</v>
      </c>
      <c r="K6" s="32">
        <f>VLOOKUP(Tabela11[[#This Row],[FORMAPAGAMENTO]],tb_Comandas[[Adicional]:[Total]],$K$2,FALSE)</f>
        <v>7</v>
      </c>
      <c r="M6" s="44" t="s">
        <v>202</v>
      </c>
      <c r="N6" s="45">
        <f t="shared" si="0"/>
        <v>275</v>
      </c>
      <c r="O6" s="50">
        <f>SUM($N$4:N6)/$N$8</f>
        <v>0.75</v>
      </c>
    </row>
    <row r="7" spans="1:17" x14ac:dyDescent="0.25">
      <c r="A7" s="30" t="s">
        <v>5</v>
      </c>
      <c r="B7" s="31">
        <v>3</v>
      </c>
      <c r="D7" s="35" t="s">
        <v>69</v>
      </c>
      <c r="E7" s="35">
        <f>COUNTIF(Comandas!$D$54:$AP$54,tbBairroDash[[#This Row],[Bairro]])</f>
        <v>4</v>
      </c>
      <c r="G7" s="17" t="s">
        <v>55</v>
      </c>
      <c r="H7" s="33">
        <v>3</v>
      </c>
      <c r="J7" s="33" t="s">
        <v>37</v>
      </c>
      <c r="K7" s="32">
        <f>VLOOKUP(Tabela11[[#This Row],[FORMAPAGAMENTO]],tb_Comandas[[Adicional]:[Total]],$K$2,FALSE)</f>
        <v>10</v>
      </c>
      <c r="M7" s="44" t="s">
        <v>203</v>
      </c>
      <c r="N7" s="45">
        <f t="shared" si="0"/>
        <v>275</v>
      </c>
      <c r="O7" s="50">
        <f>SUM($N$4:N7)/$N$8</f>
        <v>1</v>
      </c>
    </row>
    <row r="8" spans="1:17" x14ac:dyDescent="0.25">
      <c r="A8" s="30" t="s">
        <v>17</v>
      </c>
      <c r="B8" s="31">
        <v>0</v>
      </c>
      <c r="D8" s="35" t="s">
        <v>78</v>
      </c>
      <c r="E8" s="35">
        <f>COUNTIF(Comandas!$D$54:$AP$54,tbBairroDash[[#This Row],[Bairro]])</f>
        <v>3</v>
      </c>
      <c r="G8" s="17" t="s">
        <v>48</v>
      </c>
      <c r="H8" s="33">
        <v>2</v>
      </c>
      <c r="J8" s="33" t="s">
        <v>38</v>
      </c>
      <c r="K8" s="32">
        <f>VLOOKUP(Tabela11[[#This Row],[FORMAPAGAMENTO]],tb_Comandas[[Adicional]:[Total]],$K$2,FALSE)</f>
        <v>12</v>
      </c>
      <c r="M8" s="44" t="s">
        <v>44</v>
      </c>
      <c r="N8" s="45">
        <v>1100</v>
      </c>
      <c r="O8" s="44" t="s">
        <v>211</v>
      </c>
    </row>
    <row r="9" spans="1:17" x14ac:dyDescent="0.25">
      <c r="A9" s="30" t="s">
        <v>9</v>
      </c>
      <c r="B9" s="31">
        <v>0</v>
      </c>
      <c r="D9" s="35" t="s">
        <v>71</v>
      </c>
      <c r="E9" s="35">
        <f>COUNTIF(Comandas!$D$54:$AP$54,tbBairroDash[[#This Row],[Bairro]])</f>
        <v>2</v>
      </c>
      <c r="G9" s="17" t="s">
        <v>21</v>
      </c>
      <c r="H9" s="33">
        <v>2</v>
      </c>
    </row>
    <row r="10" spans="1:17" x14ac:dyDescent="0.25">
      <c r="A10" s="30" t="s">
        <v>29</v>
      </c>
      <c r="B10" s="31">
        <v>0</v>
      </c>
      <c r="D10" s="35" t="s">
        <v>82</v>
      </c>
      <c r="E10" s="35">
        <f>COUNTIF(Comandas!$D$54:$AP$54,tbBairroDash[[#This Row],[Bairro]])</f>
        <v>2</v>
      </c>
      <c r="G10" s="17" t="s">
        <v>49</v>
      </c>
      <c r="H10" s="33">
        <v>1</v>
      </c>
      <c r="M10" s="54" t="s">
        <v>206</v>
      </c>
      <c r="N10" s="54"/>
      <c r="O10" s="54"/>
    </row>
    <row r="11" spans="1:17" x14ac:dyDescent="0.25">
      <c r="A11" s="30" t="s">
        <v>10</v>
      </c>
      <c r="B11" s="31">
        <v>0</v>
      </c>
      <c r="D11" s="35" t="s">
        <v>66</v>
      </c>
      <c r="E11" s="35">
        <f>COUNTIF(Comandas!$D$54:$AP$54,tbBairroDash[[#This Row],[Bairro]])</f>
        <v>1</v>
      </c>
      <c r="G11" s="17" t="s">
        <v>51</v>
      </c>
      <c r="H11" s="33">
        <v>1</v>
      </c>
      <c r="M11" t="s">
        <v>207</v>
      </c>
      <c r="N11" s="49">
        <v>672.3</v>
      </c>
      <c r="O11" s="46"/>
    </row>
    <row r="12" spans="1:17" x14ac:dyDescent="0.25">
      <c r="A12" s="30" t="s">
        <v>149</v>
      </c>
      <c r="B12" s="31">
        <v>0</v>
      </c>
      <c r="D12" s="35" t="s">
        <v>72</v>
      </c>
      <c r="E12" s="35">
        <f>COUNTIF(Comandas!$D$54:$AP$54,tbBairroDash[[#This Row],[Bairro]])</f>
        <v>1</v>
      </c>
      <c r="G12" s="17" t="s">
        <v>52</v>
      </c>
      <c r="H12" s="33">
        <v>1</v>
      </c>
      <c r="M12" t="s">
        <v>2</v>
      </c>
      <c r="N12" s="47">
        <f>IF(N8&gt;N11,1%*N8,1%*N11)</f>
        <v>11</v>
      </c>
    </row>
    <row r="13" spans="1:17" x14ac:dyDescent="0.25">
      <c r="A13" s="30" t="s">
        <v>164</v>
      </c>
      <c r="B13" s="31">
        <v>1</v>
      </c>
      <c r="D13" s="35" t="s">
        <v>85</v>
      </c>
      <c r="E13" s="35">
        <f>COUNTIF(Comandas!$D$54:$AP$54,tbBairroDash[[#This Row],[Bairro]])</f>
        <v>1</v>
      </c>
      <c r="G13" s="17" t="s">
        <v>26</v>
      </c>
      <c r="H13" s="33">
        <v>1</v>
      </c>
      <c r="M13" t="s">
        <v>208</v>
      </c>
      <c r="N13" s="48">
        <f>IF(N11&lt;=N8,SUM(N4:N8)-N11-N12,N11-N12)</f>
        <v>1516.7</v>
      </c>
    </row>
    <row r="14" spans="1:17" x14ac:dyDescent="0.25">
      <c r="A14" s="30" t="s">
        <v>150</v>
      </c>
      <c r="B14" s="31">
        <v>0</v>
      </c>
      <c r="D14" s="35" t="s">
        <v>87</v>
      </c>
      <c r="E14" s="35">
        <f>COUNTIF(Comandas!$D$54:$AP$54,tbBairroDash[[#This Row],[Bairro]])</f>
        <v>1</v>
      </c>
      <c r="G14" s="17" t="s">
        <v>9</v>
      </c>
      <c r="H14" s="33">
        <v>1</v>
      </c>
    </row>
    <row r="15" spans="1:17" x14ac:dyDescent="0.25">
      <c r="A15" s="30" t="s">
        <v>38</v>
      </c>
      <c r="B15" s="31">
        <v>0</v>
      </c>
      <c r="D15" s="35" t="s">
        <v>88</v>
      </c>
      <c r="E15" s="35">
        <f>COUNTIF(Comandas!$D$54:$AP$54,tbBairroDash[[#This Row],[Bairro]])</f>
        <v>1</v>
      </c>
      <c r="G15" s="17" t="s">
        <v>27</v>
      </c>
      <c r="H15" s="33">
        <v>1</v>
      </c>
      <c r="O15" s="46"/>
    </row>
    <row r="16" spans="1:17" x14ac:dyDescent="0.25">
      <c r="A16" s="30" t="s">
        <v>27</v>
      </c>
      <c r="B16" s="31">
        <v>0</v>
      </c>
      <c r="D16" s="35" t="s">
        <v>70</v>
      </c>
      <c r="E16" s="35">
        <f>COUNTIF(Comandas!$D$54:$AP$54,tbBairroDash[[#This Row],[Bairro]])</f>
        <v>1</v>
      </c>
      <c r="G16" s="17" t="s">
        <v>25</v>
      </c>
      <c r="H16" s="33">
        <v>1</v>
      </c>
      <c r="N16" t="s">
        <v>210</v>
      </c>
    </row>
    <row r="17" spans="1:8" x14ac:dyDescent="0.25">
      <c r="A17" s="30" t="s">
        <v>141</v>
      </c>
      <c r="B17" s="31">
        <v>1</v>
      </c>
      <c r="D17" s="35" t="s">
        <v>79</v>
      </c>
      <c r="E17" s="35">
        <f>COUNTIF(Comandas!$D$54:$AP$54,tbBairroDash[[#This Row],[Bairro]])</f>
        <v>1</v>
      </c>
      <c r="G17" s="17" t="s">
        <v>54</v>
      </c>
      <c r="H17" s="33">
        <v>1</v>
      </c>
    </row>
    <row r="18" spans="1:8" x14ac:dyDescent="0.25">
      <c r="A18" s="30" t="s">
        <v>160</v>
      </c>
      <c r="B18" s="31">
        <v>1</v>
      </c>
      <c r="D18" s="35" t="s">
        <v>73</v>
      </c>
      <c r="E18" s="35">
        <f>COUNTIF(Comandas!$D$54:$AP$54,tbBairroDash[[#This Row],[Bairro]])</f>
        <v>0</v>
      </c>
      <c r="G18" s="17" t="s">
        <v>56</v>
      </c>
      <c r="H18" s="33">
        <v>1</v>
      </c>
    </row>
    <row r="19" spans="1:8" x14ac:dyDescent="0.25">
      <c r="A19" s="30" t="s">
        <v>157</v>
      </c>
      <c r="B19" s="31">
        <v>0</v>
      </c>
      <c r="D19" s="35" t="s">
        <v>74</v>
      </c>
      <c r="E19" s="35">
        <f>COUNTIF(Comandas!$D$54:$AP$54,tbBairroDash[[#This Row],[Bairro]])</f>
        <v>0</v>
      </c>
      <c r="G19" s="17" t="s">
        <v>58</v>
      </c>
      <c r="H19" s="33">
        <v>1</v>
      </c>
    </row>
    <row r="20" spans="1:8" x14ac:dyDescent="0.25">
      <c r="A20" s="30" t="s">
        <v>37</v>
      </c>
      <c r="B20" s="31">
        <v>2</v>
      </c>
      <c r="D20" s="35" t="s">
        <v>75</v>
      </c>
      <c r="E20" s="35">
        <f>COUNTIF(Comandas!$D$54:$AP$54,tbBairroDash[[#This Row],[Bairro]])</f>
        <v>0</v>
      </c>
      <c r="G20" s="17" t="s">
        <v>53</v>
      </c>
      <c r="H20" s="33">
        <v>0</v>
      </c>
    </row>
    <row r="21" spans="1:8" x14ac:dyDescent="0.25">
      <c r="A21" s="30" t="s">
        <v>18</v>
      </c>
      <c r="B21" s="31">
        <v>1</v>
      </c>
      <c r="D21" s="35" t="s">
        <v>76</v>
      </c>
      <c r="E21" s="35">
        <f>COUNTIF(Comandas!$D$54:$AP$54,tbBairroDash[[#This Row],[Bairro]])</f>
        <v>0</v>
      </c>
      <c r="G21" s="17" t="s">
        <v>19</v>
      </c>
      <c r="H21" s="33">
        <v>0</v>
      </c>
    </row>
    <row r="22" spans="1:8" x14ac:dyDescent="0.25">
      <c r="A22" s="30" t="s">
        <v>147</v>
      </c>
      <c r="B22" s="31">
        <v>1</v>
      </c>
      <c r="D22" s="35" t="s">
        <v>77</v>
      </c>
      <c r="E22" s="35">
        <f>COUNTIF(Comandas!$D$54:$AP$54,tbBairroDash[[#This Row],[Bairro]])</f>
        <v>0</v>
      </c>
      <c r="G22" s="17" t="s">
        <v>10</v>
      </c>
      <c r="H22" s="33">
        <v>0</v>
      </c>
    </row>
    <row r="23" spans="1:8" x14ac:dyDescent="0.25">
      <c r="A23" s="30" t="s">
        <v>156</v>
      </c>
      <c r="B23" s="31">
        <v>1</v>
      </c>
      <c r="D23" s="35" t="s">
        <v>80</v>
      </c>
      <c r="E23" s="35">
        <f>COUNTIF(Comandas!$D$54:$AP$54,tbBairroDash[[#This Row],[Bairro]])</f>
        <v>0</v>
      </c>
      <c r="G23" s="17" t="s">
        <v>28</v>
      </c>
      <c r="H23" s="33">
        <v>0</v>
      </c>
    </row>
    <row r="24" spans="1:8" x14ac:dyDescent="0.25">
      <c r="A24" s="30" t="s">
        <v>15</v>
      </c>
      <c r="B24" s="31">
        <v>2</v>
      </c>
      <c r="D24" s="35" t="s">
        <v>81</v>
      </c>
      <c r="E24" s="35">
        <f>COUNTIF(Comandas!$D$54:$AP$54,tbBairroDash[[#This Row],[Bairro]])</f>
        <v>0</v>
      </c>
      <c r="G24" s="17" t="s">
        <v>23</v>
      </c>
      <c r="H24" s="33">
        <v>0</v>
      </c>
    </row>
    <row r="25" spans="1:8" x14ac:dyDescent="0.25">
      <c r="A25" s="30" t="s">
        <v>22</v>
      </c>
      <c r="B25" s="31">
        <v>1</v>
      </c>
      <c r="D25" s="35" t="s">
        <v>83</v>
      </c>
      <c r="E25" s="35">
        <f>COUNTIF(Comandas!$D$54:$AP$54,tbBairroDash[[#This Row],[Bairro]])</f>
        <v>0</v>
      </c>
      <c r="G25" s="17" t="s">
        <v>31</v>
      </c>
      <c r="H25" s="33">
        <v>0</v>
      </c>
    </row>
    <row r="26" spans="1:8" x14ac:dyDescent="0.25">
      <c r="A26" s="30" t="s">
        <v>140</v>
      </c>
      <c r="B26" s="31">
        <v>0</v>
      </c>
      <c r="D26" s="35" t="s">
        <v>84</v>
      </c>
      <c r="E26" s="35">
        <f>COUNTIF(Comandas!$D$54:$AP$54,tbBairroDash[[#This Row],[Bairro]])</f>
        <v>0</v>
      </c>
    </row>
    <row r="27" spans="1:8" x14ac:dyDescent="0.25">
      <c r="A27" s="30" t="s">
        <v>31</v>
      </c>
      <c r="B27" s="31">
        <v>1</v>
      </c>
      <c r="D27" s="35" t="s">
        <v>86</v>
      </c>
      <c r="E27" s="35">
        <f>COUNTIF(Comandas!$D$54:$AP$54,tbBairroDash[[#This Row],[Bairro]])</f>
        <v>0</v>
      </c>
    </row>
    <row r="28" spans="1:8" x14ac:dyDescent="0.25">
      <c r="A28" s="30" t="s">
        <v>146</v>
      </c>
      <c r="B28" s="31">
        <v>2</v>
      </c>
      <c r="D28" s="35" t="s">
        <v>89</v>
      </c>
      <c r="E28" s="35">
        <f>COUNTIF(Comandas!$D$54:$AP$54,tbBairroDash[[#This Row],[Bairro]])</f>
        <v>0</v>
      </c>
    </row>
    <row r="29" spans="1:8" x14ac:dyDescent="0.25">
      <c r="A29" s="30" t="s">
        <v>145</v>
      </c>
      <c r="B29" s="31">
        <v>3</v>
      </c>
      <c r="D29" s="35" t="s">
        <v>91</v>
      </c>
      <c r="E29" s="35">
        <f>COUNTIF(Comandas!$D$54:$AP$54,tbBairroDash[[#This Row],[Bairro]])</f>
        <v>0</v>
      </c>
    </row>
    <row r="30" spans="1:8" x14ac:dyDescent="0.25">
      <c r="A30" s="30" t="s">
        <v>7</v>
      </c>
      <c r="B30" s="31">
        <v>0</v>
      </c>
      <c r="D30" s="35" t="s">
        <v>92</v>
      </c>
      <c r="E30" s="35">
        <f>COUNTIF(Comandas!$D$54:$AP$54,tbBairroDash[[#This Row],[Bairro]])</f>
        <v>0</v>
      </c>
    </row>
    <row r="31" spans="1:8" x14ac:dyDescent="0.25">
      <c r="A31" s="30" t="s">
        <v>32</v>
      </c>
      <c r="B31" s="31">
        <v>0</v>
      </c>
      <c r="D31" s="35" t="s">
        <v>93</v>
      </c>
      <c r="E31" s="35">
        <f>COUNTIF(Comandas!$D$54:$AP$54,tbBairroDash[[#This Row],[Bairro]])</f>
        <v>0</v>
      </c>
    </row>
    <row r="32" spans="1:8" x14ac:dyDescent="0.25">
      <c r="A32" s="30" t="s">
        <v>8</v>
      </c>
      <c r="B32" s="31">
        <v>1</v>
      </c>
    </row>
    <row r="33" spans="1:2" x14ac:dyDescent="0.25">
      <c r="A33" s="30" t="s">
        <v>158</v>
      </c>
      <c r="B33" s="31">
        <v>1</v>
      </c>
    </row>
    <row r="34" spans="1:2" x14ac:dyDescent="0.25">
      <c r="A34" s="30" t="s">
        <v>144</v>
      </c>
      <c r="B34" s="31">
        <v>0</v>
      </c>
    </row>
    <row r="35" spans="1:2" x14ac:dyDescent="0.25">
      <c r="A35" s="30" t="s">
        <v>143</v>
      </c>
      <c r="B35" s="31">
        <v>1</v>
      </c>
    </row>
    <row r="36" spans="1:2" x14ac:dyDescent="0.25">
      <c r="A36" s="30" t="s">
        <v>142</v>
      </c>
      <c r="B36" s="31">
        <v>1</v>
      </c>
    </row>
    <row r="37" spans="1:2" x14ac:dyDescent="0.25">
      <c r="A37" s="30" t="s">
        <v>159</v>
      </c>
      <c r="B37" s="31">
        <v>1</v>
      </c>
    </row>
    <row r="38" spans="1:2" x14ac:dyDescent="0.25">
      <c r="A38" s="30" t="s">
        <v>30</v>
      </c>
      <c r="B38" s="31">
        <v>1</v>
      </c>
    </row>
    <row r="39" spans="1:2" x14ac:dyDescent="0.25">
      <c r="A39" s="30" t="s">
        <v>39</v>
      </c>
      <c r="B39" s="31">
        <v>0</v>
      </c>
    </row>
    <row r="40" spans="1:2" x14ac:dyDescent="0.25">
      <c r="A40" s="30" t="s">
        <v>23</v>
      </c>
      <c r="B40" s="31">
        <v>0</v>
      </c>
    </row>
    <row r="41" spans="1:2" x14ac:dyDescent="0.25">
      <c r="A41" s="30" t="s">
        <v>155</v>
      </c>
      <c r="B41" s="31">
        <v>0</v>
      </c>
    </row>
    <row r="42" spans="1:2" x14ac:dyDescent="0.25">
      <c r="A42" s="30" t="s">
        <v>20</v>
      </c>
      <c r="B42" s="31">
        <v>0</v>
      </c>
    </row>
    <row r="43" spans="1:2" x14ac:dyDescent="0.25">
      <c r="A43" s="30" t="s">
        <v>34</v>
      </c>
      <c r="B43" s="31">
        <v>1</v>
      </c>
    </row>
    <row r="44" spans="1:2" x14ac:dyDescent="0.25">
      <c r="A44" s="30" t="s">
        <v>40</v>
      </c>
      <c r="B44" s="31">
        <v>1</v>
      </c>
    </row>
    <row r="45" spans="1:2" x14ac:dyDescent="0.25">
      <c r="A45" s="30" t="s">
        <v>152</v>
      </c>
      <c r="B45" s="31">
        <v>1</v>
      </c>
    </row>
    <row r="46" spans="1:2" x14ac:dyDescent="0.25">
      <c r="A46" s="30" t="s">
        <v>28</v>
      </c>
      <c r="B46" s="31">
        <v>0</v>
      </c>
    </row>
    <row r="47" spans="1:2" x14ac:dyDescent="0.25">
      <c r="A47" s="30" t="s">
        <v>154</v>
      </c>
      <c r="B47" s="31">
        <v>1</v>
      </c>
    </row>
    <row r="48" spans="1:2" x14ac:dyDescent="0.25">
      <c r="A48" s="30" t="s">
        <v>41</v>
      </c>
      <c r="B48" s="31">
        <v>1</v>
      </c>
    </row>
    <row r="49" spans="1:2" x14ac:dyDescent="0.25">
      <c r="A49" s="30" t="s">
        <v>153</v>
      </c>
      <c r="B49" s="31">
        <v>0</v>
      </c>
    </row>
    <row r="50" spans="1:2" x14ac:dyDescent="0.25">
      <c r="A50" s="30" t="s">
        <v>12</v>
      </c>
      <c r="B50" s="31">
        <v>1</v>
      </c>
    </row>
    <row r="51" spans="1:2" x14ac:dyDescent="0.25">
      <c r="A51" s="30" t="s">
        <v>16</v>
      </c>
      <c r="B51" s="31">
        <v>1</v>
      </c>
    </row>
    <row r="52" spans="1:2" x14ac:dyDescent="0.25">
      <c r="A52" s="30" t="s">
        <v>161</v>
      </c>
      <c r="B52" s="31">
        <v>0</v>
      </c>
    </row>
    <row r="53" spans="1:2" x14ac:dyDescent="0.25">
      <c r="A53" s="30" t="s">
        <v>148</v>
      </c>
      <c r="B53" s="31">
        <v>0</v>
      </c>
    </row>
    <row r="54" spans="1:2" x14ac:dyDescent="0.25">
      <c r="A54" s="30" t="s">
        <v>169</v>
      </c>
      <c r="B54" s="31">
        <v>38</v>
      </c>
    </row>
  </sheetData>
  <mergeCells count="2">
    <mergeCell ref="M2:O2"/>
    <mergeCell ref="M10:O10"/>
  </mergeCells>
  <phoneticPr fontId="2" type="noConversion"/>
  <pageMargins left="0.511811024" right="0.511811024" top="0.78740157499999996" bottom="0.78740157499999996" header="0.31496062000000002" footer="0.31496062000000002"/>
  <pageSetup paperSize="9" orientation="portrait" verticalDpi="300"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9E073-6E05-4C21-933F-634DB9F297AF}">
  <sheetPr codeName="p_Dashboard"/>
  <dimension ref="A1:J5"/>
  <sheetViews>
    <sheetView showGridLines="0" tabSelected="1" zoomScaleNormal="100" workbookViewId="0">
      <selection activeCell="K3" sqref="K3"/>
    </sheetView>
  </sheetViews>
  <sheetFormatPr defaultColWidth="9.140625" defaultRowHeight="15" x14ac:dyDescent="0.25"/>
  <cols>
    <col min="1" max="1" width="10.5703125" style="1" customWidth="1"/>
    <col min="2" max="9" width="9.140625" style="1"/>
    <col min="10" max="10" width="9.140625" style="39"/>
    <col min="11" max="16384" width="9.140625" style="1"/>
  </cols>
  <sheetData>
    <row r="1" spans="1:10" x14ac:dyDescent="0.25">
      <c r="A1" s="42" t="b">
        <v>0</v>
      </c>
      <c r="C1" s="40"/>
    </row>
    <row r="2" spans="1:10" x14ac:dyDescent="0.25">
      <c r="A2" s="40"/>
    </row>
    <row r="4" spans="1:10" x14ac:dyDescent="0.25">
      <c r="J4" s="41"/>
    </row>
    <row r="5" spans="1:10" x14ac:dyDescent="0.25">
      <c r="J5" s="41"/>
    </row>
  </sheetData>
  <sheetProtection selectLockedCells="1"/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38" r:id="rId3" name="TextBox1">
          <controlPr defaultSize="0" autoFill="0" autoLine="0" linkedCell="Dados!O8" r:id="rId4">
            <anchor moveWithCells="1">
              <from>
                <xdr:col>5</xdr:col>
                <xdr:colOff>114300</xdr:colOff>
                <xdr:row>7</xdr:row>
                <xdr:rowOff>161925</xdr:rowOff>
              </from>
              <to>
                <xdr:col>7</xdr:col>
                <xdr:colOff>247650</xdr:colOff>
                <xdr:row>9</xdr:row>
                <xdr:rowOff>171450</xdr:rowOff>
              </to>
            </anchor>
          </controlPr>
        </control>
      </mc:Choice>
      <mc:Fallback>
        <control shapeId="1038" r:id="rId3" name="TextBox1"/>
      </mc:Fallback>
    </mc:AlternateContent>
    <mc:AlternateContent xmlns:mc="http://schemas.openxmlformats.org/markup-compatibility/2006">
      <mc:Choice Requires="x14">
        <control shapeId="1032" r:id="rId5" name="profitTotal">
          <controlPr defaultSize="0" autoLine="0" autoPict="0" r:id="rId6">
            <anchor moveWithCells="1">
              <from>
                <xdr:col>0</xdr:col>
                <xdr:colOff>590550</xdr:colOff>
                <xdr:row>8</xdr:row>
                <xdr:rowOff>57150</xdr:rowOff>
              </from>
              <to>
                <xdr:col>4</xdr:col>
                <xdr:colOff>133350</xdr:colOff>
                <xdr:row>9</xdr:row>
                <xdr:rowOff>190500</xdr:rowOff>
              </to>
            </anchor>
          </controlPr>
        </control>
      </mc:Choice>
      <mc:Fallback>
        <control shapeId="1032" r:id="rId5" name="profitTotal"/>
      </mc:Fallback>
    </mc:AlternateContent>
    <mc:AlternateContent xmlns:mc="http://schemas.openxmlformats.org/markup-compatibility/2006">
      <mc:Choice Requires="x14">
        <control shapeId="1029" r:id="rId7" name="numberSells">
          <controlPr defaultSize="0" autoLine="0" autoPict="0" r:id="rId8">
            <anchor moveWithCells="1">
              <from>
                <xdr:col>0</xdr:col>
                <xdr:colOff>581025</xdr:colOff>
                <xdr:row>19</xdr:row>
                <xdr:rowOff>95250</xdr:rowOff>
              </from>
              <to>
                <xdr:col>4</xdr:col>
                <xdr:colOff>133350</xdr:colOff>
                <xdr:row>21</xdr:row>
                <xdr:rowOff>38100</xdr:rowOff>
              </to>
            </anchor>
          </controlPr>
        </control>
      </mc:Choice>
      <mc:Fallback>
        <control shapeId="1029" r:id="rId7" name="numberSells"/>
      </mc:Fallback>
    </mc:AlternateContent>
    <mc:AlternateContent xmlns:mc="http://schemas.openxmlformats.org/markup-compatibility/2006">
      <mc:Choice Requires="x14">
        <control shapeId="1030" r:id="rId9" name="totalLiter">
          <controlPr defaultSize="0" autoLine="0" autoPict="0" r:id="rId10">
            <anchor moveWithCells="1">
              <from>
                <xdr:col>0</xdr:col>
                <xdr:colOff>590550</xdr:colOff>
                <xdr:row>13</xdr:row>
                <xdr:rowOff>142875</xdr:rowOff>
              </from>
              <to>
                <xdr:col>4</xdr:col>
                <xdr:colOff>152400</xdr:colOff>
                <xdr:row>15</xdr:row>
                <xdr:rowOff>85725</xdr:rowOff>
              </to>
            </anchor>
          </controlPr>
        </control>
      </mc:Choice>
      <mc:Fallback>
        <control shapeId="1030" r:id="rId9" name="totalLiter"/>
      </mc:Fallback>
    </mc:AlternateContent>
    <mc:AlternateContent xmlns:mc="http://schemas.openxmlformats.org/markup-compatibility/2006">
      <mc:Choice Requires="x14">
        <control shapeId="1028" r:id="rId11" name="Label4">
          <controlPr defaultSize="0" autoLine="0" r:id="rId12">
            <anchor moveWithCells="1">
              <from>
                <xdr:col>17</xdr:col>
                <xdr:colOff>409575</xdr:colOff>
                <xdr:row>6</xdr:row>
                <xdr:rowOff>28575</xdr:rowOff>
              </from>
              <to>
                <xdr:col>20</xdr:col>
                <xdr:colOff>438150</xdr:colOff>
                <xdr:row>21</xdr:row>
                <xdr:rowOff>104775</xdr:rowOff>
              </to>
            </anchor>
          </controlPr>
        </control>
      </mc:Choice>
      <mc:Fallback>
        <control shapeId="1028" r:id="rId11" name="Label4"/>
      </mc:Fallback>
    </mc:AlternateContent>
    <mc:AlternateContent xmlns:mc="http://schemas.openxmlformats.org/markup-compatibility/2006">
      <mc:Choice Requires="x14">
        <control shapeId="1027" r:id="rId13" name="Label3">
          <controlPr defaultSize="0" autoLine="0" r:id="rId14">
            <anchor moveWithCells="1">
              <from>
                <xdr:col>12</xdr:col>
                <xdr:colOff>47625</xdr:colOff>
                <xdr:row>17</xdr:row>
                <xdr:rowOff>28575</xdr:rowOff>
              </from>
              <to>
                <xdr:col>16</xdr:col>
                <xdr:colOff>504825</xdr:colOff>
                <xdr:row>19</xdr:row>
                <xdr:rowOff>38100</xdr:rowOff>
              </to>
            </anchor>
          </controlPr>
        </control>
      </mc:Choice>
      <mc:Fallback>
        <control shapeId="1027" r:id="rId13" name="Label3"/>
      </mc:Fallback>
    </mc:AlternateContent>
    <mc:AlternateContent xmlns:mc="http://schemas.openxmlformats.org/markup-compatibility/2006">
      <mc:Choice Requires="x14">
        <control shapeId="1026" r:id="rId15" name="Label2">
          <controlPr defaultSize="0" autoLine="0" r:id="rId16">
            <anchor moveWithCells="1">
              <from>
                <xdr:col>12</xdr:col>
                <xdr:colOff>19050</xdr:colOff>
                <xdr:row>12</xdr:row>
                <xdr:rowOff>19050</xdr:rowOff>
              </from>
              <to>
                <xdr:col>16</xdr:col>
                <xdr:colOff>476250</xdr:colOff>
                <xdr:row>14</xdr:row>
                <xdr:rowOff>38100</xdr:rowOff>
              </to>
            </anchor>
          </controlPr>
        </control>
      </mc:Choice>
      <mc:Fallback>
        <control shapeId="1026" r:id="rId15" name="Label2"/>
      </mc:Fallback>
    </mc:AlternateContent>
    <mc:AlternateContent xmlns:mc="http://schemas.openxmlformats.org/markup-compatibility/2006">
      <mc:Choice Requires="x14">
        <control shapeId="1025" r:id="rId17" name="Label1">
          <controlPr defaultSize="0" autoLine="0" r:id="rId18">
            <anchor moveWithCells="1">
              <from>
                <xdr:col>12</xdr:col>
                <xdr:colOff>19050</xdr:colOff>
                <xdr:row>7</xdr:row>
                <xdr:rowOff>180975</xdr:rowOff>
              </from>
              <to>
                <xdr:col>16</xdr:col>
                <xdr:colOff>476250</xdr:colOff>
                <xdr:row>10</xdr:row>
                <xdr:rowOff>9525</xdr:rowOff>
              </to>
            </anchor>
          </controlPr>
        </control>
      </mc:Choice>
      <mc:Fallback>
        <control shapeId="1025" r:id="rId17" name="Label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4262F-2A3E-4075-A763-E57C43B3DC83}">
  <sheetPr codeName="p_Comandas"/>
  <dimension ref="A1:AP59"/>
  <sheetViews>
    <sheetView showGridLines="0" showRowColHeaders="0" zoomScaleNormal="100" workbookViewId="0">
      <pane xSplit="5" topLeftCell="P1" activePane="topRight" state="frozen"/>
      <selection pane="topRight" activeCell="AP59" sqref="AP59"/>
    </sheetView>
  </sheetViews>
  <sheetFormatPr defaultColWidth="9.140625" defaultRowHeight="15" x14ac:dyDescent="0.25"/>
  <cols>
    <col min="1" max="3" width="9.140625" style="1"/>
    <col min="4" max="4" width="22.7109375" style="2" bestFit="1" customWidth="1"/>
    <col min="5" max="5" width="20.140625" style="1" bestFit="1" customWidth="1"/>
    <col min="6" max="7" width="9.5703125" style="1" bestFit="1" customWidth="1"/>
    <col min="8" max="8" width="10.5703125" style="1" bestFit="1" customWidth="1"/>
    <col min="9" max="22" width="9.5703125" style="1" bestFit="1" customWidth="1"/>
    <col min="23" max="24" width="9.140625" style="1" customWidth="1"/>
    <col min="25" max="31" width="9.5703125" style="1" bestFit="1" customWidth="1"/>
    <col min="32" max="39" width="9.140625" style="1"/>
    <col min="40" max="40" width="10.5703125" style="1" bestFit="1" customWidth="1"/>
    <col min="41" max="16384" width="9.140625" style="1"/>
  </cols>
  <sheetData>
    <row r="1" spans="1:42" ht="15.75" thickBot="1" x14ac:dyDescent="0.3">
      <c r="A1" s="43"/>
    </row>
    <row r="2" spans="1:42" ht="15.75" thickBot="1" x14ac:dyDescent="0.3">
      <c r="D2" s="55" t="s">
        <v>45</v>
      </c>
      <c r="E2" s="14" t="s">
        <v>3</v>
      </c>
      <c r="F2" s="16">
        <v>1</v>
      </c>
      <c r="G2" s="16">
        <v>2</v>
      </c>
      <c r="H2" s="16">
        <v>3</v>
      </c>
      <c r="I2" s="16">
        <v>4</v>
      </c>
      <c r="J2" s="16">
        <v>4</v>
      </c>
      <c r="K2" s="16">
        <v>5</v>
      </c>
      <c r="L2" s="16">
        <v>6</v>
      </c>
      <c r="M2" s="16">
        <v>6</v>
      </c>
      <c r="N2" s="16">
        <v>6</v>
      </c>
      <c r="O2" s="16">
        <v>6</v>
      </c>
      <c r="P2" s="16">
        <v>6</v>
      </c>
      <c r="Q2" s="16">
        <v>6</v>
      </c>
      <c r="R2" s="16">
        <v>7</v>
      </c>
      <c r="S2" s="16">
        <v>8</v>
      </c>
      <c r="T2" s="16">
        <v>9</v>
      </c>
      <c r="U2" s="16">
        <v>10</v>
      </c>
      <c r="V2" s="16">
        <v>10</v>
      </c>
      <c r="W2" s="16">
        <v>10</v>
      </c>
      <c r="X2" s="16">
        <v>12</v>
      </c>
      <c r="Y2" s="16">
        <v>12</v>
      </c>
      <c r="Z2" s="16">
        <v>12</v>
      </c>
      <c r="AA2" s="16">
        <v>12</v>
      </c>
      <c r="AB2" s="16">
        <v>13</v>
      </c>
      <c r="AC2" s="16">
        <v>13</v>
      </c>
      <c r="AD2" s="16">
        <v>13</v>
      </c>
      <c r="AE2" s="16">
        <v>14</v>
      </c>
      <c r="AF2" s="16">
        <v>25</v>
      </c>
      <c r="AG2" s="16">
        <v>23</v>
      </c>
      <c r="AH2" s="16">
        <v>29</v>
      </c>
      <c r="AI2" s="16">
        <v>30</v>
      </c>
      <c r="AJ2" s="16">
        <v>30</v>
      </c>
      <c r="AK2" s="16">
        <v>30</v>
      </c>
      <c r="AL2" s="16">
        <v>30</v>
      </c>
      <c r="AM2" s="16">
        <v>30</v>
      </c>
    </row>
    <row r="3" spans="1:42" ht="15.75" thickBot="1" x14ac:dyDescent="0.3">
      <c r="D3" s="56"/>
      <c r="E3" s="14" t="s">
        <v>2</v>
      </c>
      <c r="F3" s="16">
        <v>700</v>
      </c>
      <c r="G3" s="16">
        <v>700</v>
      </c>
      <c r="H3" s="16">
        <v>500</v>
      </c>
      <c r="I3" s="16">
        <v>1000</v>
      </c>
      <c r="J3" s="16">
        <v>700</v>
      </c>
      <c r="K3" s="16">
        <v>1000</v>
      </c>
      <c r="L3" s="16">
        <v>300</v>
      </c>
      <c r="M3" s="16">
        <v>300</v>
      </c>
      <c r="N3" s="16">
        <v>300</v>
      </c>
      <c r="O3" s="16">
        <v>300</v>
      </c>
      <c r="P3" s="16">
        <v>300</v>
      </c>
      <c r="Q3" s="16">
        <v>300</v>
      </c>
      <c r="R3" s="16">
        <v>700</v>
      </c>
      <c r="S3" s="16">
        <v>700</v>
      </c>
      <c r="T3" s="16">
        <v>700</v>
      </c>
      <c r="U3" s="16">
        <v>500</v>
      </c>
      <c r="V3" s="16">
        <v>500</v>
      </c>
      <c r="W3" s="16">
        <v>1000</v>
      </c>
      <c r="X3" s="16">
        <v>1000</v>
      </c>
      <c r="Y3" s="16">
        <v>1000</v>
      </c>
      <c r="Z3" s="16">
        <v>1000</v>
      </c>
      <c r="AA3" s="16">
        <v>1000</v>
      </c>
      <c r="AB3" s="16">
        <v>500</v>
      </c>
      <c r="AC3" s="16">
        <v>500</v>
      </c>
      <c r="AD3" s="16">
        <v>500</v>
      </c>
      <c r="AE3" s="16">
        <v>1000</v>
      </c>
      <c r="AF3" s="16">
        <v>1000</v>
      </c>
      <c r="AG3" s="16">
        <v>500</v>
      </c>
      <c r="AH3" s="16">
        <v>700</v>
      </c>
      <c r="AI3" s="16">
        <v>1000</v>
      </c>
      <c r="AJ3" s="16">
        <v>700</v>
      </c>
      <c r="AK3" s="16">
        <v>700</v>
      </c>
      <c r="AL3" s="16">
        <v>700</v>
      </c>
      <c r="AM3" s="16">
        <v>700</v>
      </c>
    </row>
    <row r="4" spans="1:42" ht="15.75" thickBot="1" x14ac:dyDescent="0.3">
      <c r="D4" s="9" t="s">
        <v>0</v>
      </c>
      <c r="E4" s="10" t="s">
        <v>1</v>
      </c>
      <c r="F4" s="10" t="s">
        <v>51</v>
      </c>
      <c r="G4" s="10" t="s">
        <v>50</v>
      </c>
      <c r="H4" s="10" t="s">
        <v>47</v>
      </c>
      <c r="I4" s="10" t="s">
        <v>48</v>
      </c>
      <c r="J4" s="10" t="s">
        <v>49</v>
      </c>
      <c r="K4" s="10" t="s">
        <v>171</v>
      </c>
      <c r="L4" s="10" t="s">
        <v>52</v>
      </c>
      <c r="M4" s="10" t="s">
        <v>9</v>
      </c>
      <c r="N4" s="10" t="s">
        <v>26</v>
      </c>
      <c r="O4" s="10" t="s">
        <v>58</v>
      </c>
      <c r="P4" s="10" t="s">
        <v>56</v>
      </c>
      <c r="Q4" s="10" t="s">
        <v>21</v>
      </c>
      <c r="R4" s="10" t="s">
        <v>172</v>
      </c>
      <c r="S4" s="10" t="s">
        <v>173</v>
      </c>
      <c r="T4" s="10" t="s">
        <v>174</v>
      </c>
      <c r="U4" s="10" t="s">
        <v>57</v>
      </c>
      <c r="V4" s="10" t="s">
        <v>175</v>
      </c>
      <c r="W4" s="10" t="s">
        <v>27</v>
      </c>
      <c r="X4" s="10" t="s">
        <v>178</v>
      </c>
      <c r="Y4" s="10" t="s">
        <v>179</v>
      </c>
      <c r="Z4" s="10" t="s">
        <v>180</v>
      </c>
      <c r="AA4" s="10" t="s">
        <v>181</v>
      </c>
      <c r="AB4" s="10" t="s">
        <v>55</v>
      </c>
      <c r="AC4" s="10" t="s">
        <v>183</v>
      </c>
      <c r="AD4" s="10" t="s">
        <v>185</v>
      </c>
      <c r="AE4" s="10" t="s">
        <v>54</v>
      </c>
      <c r="AF4" s="10" t="s">
        <v>189</v>
      </c>
      <c r="AG4" s="10" t="s">
        <v>25</v>
      </c>
      <c r="AH4" s="10" t="s">
        <v>192</v>
      </c>
      <c r="AI4" s="10" t="s">
        <v>193</v>
      </c>
      <c r="AJ4" s="10" t="s">
        <v>194</v>
      </c>
      <c r="AK4" s="10" t="s">
        <v>195</v>
      </c>
      <c r="AL4" s="10" t="s">
        <v>196</v>
      </c>
      <c r="AM4" s="10" t="s">
        <v>197</v>
      </c>
      <c r="AN4" s="15" t="s">
        <v>209</v>
      </c>
      <c r="AO4" s="15" t="s">
        <v>176</v>
      </c>
      <c r="AP4" s="13" t="s">
        <v>44</v>
      </c>
    </row>
    <row r="5" spans="1:42" x14ac:dyDescent="0.25">
      <c r="D5" s="5" t="s">
        <v>6</v>
      </c>
      <c r="E5" s="6" t="s">
        <v>4</v>
      </c>
      <c r="F5" s="6"/>
      <c r="G5" s="6"/>
      <c r="H5" s="6"/>
      <c r="I5" s="6"/>
      <c r="J5" s="6">
        <v>1</v>
      </c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>
        <f t="shared" ref="AP5:AP36" si="0">COUNTA(F5:AO5)</f>
        <v>1</v>
      </c>
    </row>
    <row r="6" spans="1:42" x14ac:dyDescent="0.25">
      <c r="D6" s="3" t="s">
        <v>6</v>
      </c>
      <c r="E6" s="4" t="s">
        <v>5</v>
      </c>
      <c r="F6" s="6">
        <v>1</v>
      </c>
      <c r="G6" s="6">
        <v>1</v>
      </c>
      <c r="H6" s="6"/>
      <c r="I6" s="6">
        <v>1</v>
      </c>
      <c r="J6" s="6"/>
      <c r="K6" s="6">
        <v>1</v>
      </c>
      <c r="L6" s="6">
        <v>1</v>
      </c>
      <c r="M6" s="6"/>
      <c r="N6" s="6"/>
      <c r="O6" s="6"/>
      <c r="P6" s="6">
        <v>1</v>
      </c>
      <c r="Q6" s="6"/>
      <c r="R6" s="6"/>
      <c r="S6" s="6"/>
      <c r="T6" s="6">
        <v>1</v>
      </c>
      <c r="U6" s="6"/>
      <c r="V6" s="6"/>
      <c r="W6" s="6"/>
      <c r="X6" s="6"/>
      <c r="Y6" s="6"/>
      <c r="Z6" s="6"/>
      <c r="AA6" s="6"/>
      <c r="AB6" s="6"/>
      <c r="AC6" s="6"/>
      <c r="AD6" s="6">
        <v>1</v>
      </c>
      <c r="AE6" s="6"/>
      <c r="AF6" s="6">
        <v>1</v>
      </c>
      <c r="AG6" s="6"/>
      <c r="AH6" s="6">
        <v>1</v>
      </c>
      <c r="AI6" s="6"/>
      <c r="AJ6" s="6"/>
      <c r="AK6" s="6"/>
      <c r="AL6" s="6"/>
      <c r="AM6" s="6"/>
      <c r="AN6" s="4"/>
      <c r="AO6" s="4"/>
      <c r="AP6" s="4">
        <f t="shared" si="0"/>
        <v>10</v>
      </c>
    </row>
    <row r="7" spans="1:42" x14ac:dyDescent="0.25">
      <c r="D7" s="3" t="s">
        <v>6</v>
      </c>
      <c r="E7" s="4" t="s">
        <v>141</v>
      </c>
      <c r="F7" s="6"/>
      <c r="G7" s="6">
        <v>1</v>
      </c>
      <c r="H7" s="6"/>
      <c r="I7" s="6"/>
      <c r="J7" s="6"/>
      <c r="K7" s="6">
        <v>1</v>
      </c>
      <c r="L7" s="6"/>
      <c r="M7" s="6">
        <v>1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>
        <v>1</v>
      </c>
      <c r="AE7" s="6">
        <v>1</v>
      </c>
      <c r="AF7" s="6">
        <v>1</v>
      </c>
      <c r="AG7" s="6">
        <v>1</v>
      </c>
      <c r="AH7" s="6">
        <v>1</v>
      </c>
      <c r="AI7" s="6"/>
      <c r="AJ7" s="6"/>
      <c r="AK7" s="6"/>
      <c r="AL7" s="6"/>
      <c r="AM7" s="6"/>
      <c r="AN7" s="4"/>
      <c r="AO7" s="4"/>
      <c r="AP7" s="4">
        <f t="shared" si="0"/>
        <v>8</v>
      </c>
    </row>
    <row r="8" spans="1:42" x14ac:dyDescent="0.25">
      <c r="D8" s="11" t="s">
        <v>6</v>
      </c>
      <c r="E8" s="12" t="s">
        <v>7</v>
      </c>
      <c r="F8" s="26"/>
      <c r="G8" s="26"/>
      <c r="H8" s="26"/>
      <c r="I8" s="26"/>
      <c r="J8" s="26">
        <v>1</v>
      </c>
      <c r="K8" s="26"/>
      <c r="L8" s="26">
        <v>1</v>
      </c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12"/>
      <c r="AO8" s="12"/>
      <c r="AP8" s="12">
        <f t="shared" si="0"/>
        <v>2</v>
      </c>
    </row>
    <row r="9" spans="1:42" ht="15.75" thickBot="1" x14ac:dyDescent="0.3">
      <c r="D9" s="7" t="s">
        <v>6</v>
      </c>
      <c r="E9" s="27" t="s">
        <v>8</v>
      </c>
      <c r="F9" s="8"/>
      <c r="G9" s="8">
        <v>1</v>
      </c>
      <c r="H9" s="8"/>
      <c r="I9" s="8"/>
      <c r="J9" s="8">
        <v>1</v>
      </c>
      <c r="K9" s="8">
        <v>1</v>
      </c>
      <c r="L9" s="8">
        <v>1</v>
      </c>
      <c r="M9" s="8"/>
      <c r="N9" s="8"/>
      <c r="O9" s="8"/>
      <c r="P9" s="8"/>
      <c r="Q9" s="8"/>
      <c r="R9" s="8"/>
      <c r="S9" s="8"/>
      <c r="T9" s="8"/>
      <c r="U9" s="8">
        <v>1</v>
      </c>
      <c r="V9" s="8">
        <v>1</v>
      </c>
      <c r="W9" s="8"/>
      <c r="X9" s="8"/>
      <c r="Y9" s="8"/>
      <c r="Z9" s="8"/>
      <c r="AA9" s="8"/>
      <c r="AB9" s="8"/>
      <c r="AC9" s="8"/>
      <c r="AD9" s="8"/>
      <c r="AE9" s="8"/>
      <c r="AF9" s="8">
        <v>1</v>
      </c>
      <c r="AG9" s="8"/>
      <c r="AH9" s="8">
        <v>1</v>
      </c>
      <c r="AI9" s="8"/>
      <c r="AJ9" s="8">
        <v>1</v>
      </c>
      <c r="AK9" s="8">
        <v>1</v>
      </c>
      <c r="AL9" s="8">
        <v>1</v>
      </c>
      <c r="AM9" s="8">
        <v>1</v>
      </c>
      <c r="AN9" s="28"/>
      <c r="AO9" s="28"/>
      <c r="AP9" s="28">
        <f t="shared" si="0"/>
        <v>12</v>
      </c>
    </row>
    <row r="10" spans="1:42" x14ac:dyDescent="0.25">
      <c r="D10" s="5" t="s">
        <v>11</v>
      </c>
      <c r="E10" s="6" t="s">
        <v>9</v>
      </c>
      <c r="F10" s="6"/>
      <c r="G10" s="6"/>
      <c r="H10" s="6"/>
      <c r="I10" s="6"/>
      <c r="J10" s="6"/>
      <c r="K10" s="6"/>
      <c r="L10" s="6"/>
      <c r="M10" s="6">
        <v>1</v>
      </c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>
        <f t="shared" si="0"/>
        <v>1</v>
      </c>
    </row>
    <row r="11" spans="1:42" x14ac:dyDescent="0.25">
      <c r="D11" s="3" t="s">
        <v>11</v>
      </c>
      <c r="E11" s="4" t="s">
        <v>10</v>
      </c>
      <c r="F11" s="6"/>
      <c r="G11" s="6"/>
      <c r="H11" s="6"/>
      <c r="I11" s="6"/>
      <c r="J11" s="6"/>
      <c r="K11" s="6">
        <v>1</v>
      </c>
      <c r="L11" s="6">
        <v>1</v>
      </c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4"/>
      <c r="AO11" s="4"/>
      <c r="AP11" s="4">
        <f t="shared" si="0"/>
        <v>2</v>
      </c>
    </row>
    <row r="12" spans="1:42" x14ac:dyDescent="0.25">
      <c r="D12" s="3" t="s">
        <v>11</v>
      </c>
      <c r="E12" s="4" t="s">
        <v>146</v>
      </c>
      <c r="F12" s="6"/>
      <c r="G12" s="6">
        <v>1</v>
      </c>
      <c r="H12" s="6"/>
      <c r="I12" s="6">
        <v>1</v>
      </c>
      <c r="J12" s="6">
        <v>2</v>
      </c>
      <c r="K12" s="6">
        <v>1</v>
      </c>
      <c r="L12" s="6"/>
      <c r="M12" s="6"/>
      <c r="N12" s="6">
        <v>1</v>
      </c>
      <c r="O12" s="6">
        <v>1</v>
      </c>
      <c r="P12" s="6"/>
      <c r="Q12" s="6">
        <v>1</v>
      </c>
      <c r="R12" s="6"/>
      <c r="S12" s="6"/>
      <c r="T12" s="6">
        <v>1</v>
      </c>
      <c r="U12" s="6"/>
      <c r="V12" s="6"/>
      <c r="W12" s="6"/>
      <c r="X12" s="6"/>
      <c r="Y12" s="6"/>
      <c r="Z12" s="6"/>
      <c r="AA12" s="6"/>
      <c r="AB12" s="6">
        <v>1</v>
      </c>
      <c r="AC12" s="6">
        <v>1</v>
      </c>
      <c r="AD12" s="6">
        <v>1</v>
      </c>
      <c r="AE12" s="6"/>
      <c r="AF12" s="6">
        <v>1</v>
      </c>
      <c r="AG12" s="6">
        <v>1</v>
      </c>
      <c r="AH12" s="6">
        <v>1</v>
      </c>
      <c r="AI12" s="6">
        <v>1</v>
      </c>
      <c r="AJ12" s="6"/>
      <c r="AK12" s="6"/>
      <c r="AL12" s="6"/>
      <c r="AM12" s="6"/>
      <c r="AN12" s="4"/>
      <c r="AO12" s="4"/>
      <c r="AP12" s="4">
        <f t="shared" si="0"/>
        <v>15</v>
      </c>
    </row>
    <row r="13" spans="1:42" x14ac:dyDescent="0.25">
      <c r="D13" s="3" t="s">
        <v>11</v>
      </c>
      <c r="E13" s="4" t="s">
        <v>159</v>
      </c>
      <c r="F13" s="6"/>
      <c r="G13" s="6"/>
      <c r="H13" s="6"/>
      <c r="I13" s="6">
        <v>1</v>
      </c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>
        <v>1</v>
      </c>
      <c r="AG13" s="6"/>
      <c r="AH13" s="6"/>
      <c r="AI13" s="6">
        <v>1</v>
      </c>
      <c r="AJ13" s="6"/>
      <c r="AK13" s="6"/>
      <c r="AL13" s="6"/>
      <c r="AM13" s="6"/>
      <c r="AN13" s="4"/>
      <c r="AO13" s="4"/>
      <c r="AP13" s="4">
        <f t="shared" si="0"/>
        <v>3</v>
      </c>
    </row>
    <row r="14" spans="1:42" ht="15" customHeight="1" x14ac:dyDescent="0.25">
      <c r="D14" s="3" t="s">
        <v>11</v>
      </c>
      <c r="E14" s="4" t="s">
        <v>160</v>
      </c>
      <c r="F14" s="6"/>
      <c r="G14" s="6"/>
      <c r="H14" s="6"/>
      <c r="I14" s="6">
        <v>1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>
        <v>1</v>
      </c>
      <c r="V14" s="6">
        <v>1</v>
      </c>
      <c r="W14" s="6"/>
      <c r="X14" s="6"/>
      <c r="Y14" s="6"/>
      <c r="Z14" s="6"/>
      <c r="AA14" s="6"/>
      <c r="AB14" s="6"/>
      <c r="AC14" s="6"/>
      <c r="AD14" s="6"/>
      <c r="AE14" s="6"/>
      <c r="AF14" s="6">
        <v>1</v>
      </c>
      <c r="AG14" s="6"/>
      <c r="AH14" s="6"/>
      <c r="AI14" s="6"/>
      <c r="AJ14" s="6">
        <v>1</v>
      </c>
      <c r="AK14" s="6">
        <v>1</v>
      </c>
      <c r="AL14" s="6">
        <v>1</v>
      </c>
      <c r="AM14" s="6">
        <v>1</v>
      </c>
      <c r="AN14" s="4"/>
      <c r="AO14" s="4"/>
      <c r="AP14" s="4">
        <f t="shared" si="0"/>
        <v>8</v>
      </c>
    </row>
    <row r="15" spans="1:42" x14ac:dyDescent="0.25">
      <c r="D15" s="3" t="s">
        <v>11</v>
      </c>
      <c r="E15" s="4" t="s">
        <v>145</v>
      </c>
      <c r="F15" s="6">
        <v>1</v>
      </c>
      <c r="G15" s="6">
        <v>1</v>
      </c>
      <c r="H15" s="6"/>
      <c r="I15" s="6">
        <v>1</v>
      </c>
      <c r="J15" s="6"/>
      <c r="K15" s="6">
        <v>1</v>
      </c>
      <c r="L15" s="6"/>
      <c r="M15" s="6">
        <v>1</v>
      </c>
      <c r="N15" s="6">
        <v>1</v>
      </c>
      <c r="O15" s="6">
        <v>1</v>
      </c>
      <c r="P15" s="6"/>
      <c r="Q15" s="6">
        <v>1</v>
      </c>
      <c r="R15" s="6"/>
      <c r="S15" s="6"/>
      <c r="T15" s="6">
        <v>1</v>
      </c>
      <c r="U15" s="6">
        <v>1</v>
      </c>
      <c r="V15" s="6">
        <v>1</v>
      </c>
      <c r="W15" s="6">
        <v>1</v>
      </c>
      <c r="X15" s="6"/>
      <c r="Y15" s="6"/>
      <c r="Z15" s="6"/>
      <c r="AA15" s="6"/>
      <c r="AB15" s="6">
        <v>1</v>
      </c>
      <c r="AC15" s="6">
        <v>1</v>
      </c>
      <c r="AD15" s="6">
        <v>1</v>
      </c>
      <c r="AE15" s="6"/>
      <c r="AF15" s="6">
        <v>1</v>
      </c>
      <c r="AG15" s="6">
        <v>1</v>
      </c>
      <c r="AH15" s="6">
        <v>1</v>
      </c>
      <c r="AI15" s="6">
        <v>1</v>
      </c>
      <c r="AJ15" s="6">
        <v>1</v>
      </c>
      <c r="AK15" s="6">
        <v>1</v>
      </c>
      <c r="AL15" s="6">
        <v>1</v>
      </c>
      <c r="AM15" s="6">
        <v>1</v>
      </c>
      <c r="AN15" s="4"/>
      <c r="AO15" s="4"/>
      <c r="AP15" s="4">
        <f t="shared" si="0"/>
        <v>23</v>
      </c>
    </row>
    <row r="16" spans="1:42" x14ac:dyDescent="0.25">
      <c r="D16" s="3" t="s">
        <v>11</v>
      </c>
      <c r="E16" s="4" t="s">
        <v>144</v>
      </c>
      <c r="F16" s="6"/>
      <c r="G16" s="6"/>
      <c r="H16" s="6"/>
      <c r="I16" s="6"/>
      <c r="J16" s="6"/>
      <c r="K16" s="6">
        <v>1</v>
      </c>
      <c r="L16" s="6">
        <v>1</v>
      </c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>
        <v>1</v>
      </c>
      <c r="AE16" s="6"/>
      <c r="AF16" s="6"/>
      <c r="AG16" s="6"/>
      <c r="AH16" s="6"/>
      <c r="AI16" s="6"/>
      <c r="AJ16" s="6"/>
      <c r="AK16" s="6"/>
      <c r="AL16" s="6"/>
      <c r="AM16" s="6"/>
      <c r="AN16" s="4"/>
      <c r="AO16" s="4"/>
      <c r="AP16" s="4">
        <f t="shared" si="0"/>
        <v>3</v>
      </c>
    </row>
    <row r="17" spans="4:42" x14ac:dyDescent="0.25">
      <c r="D17" s="3" t="s">
        <v>11</v>
      </c>
      <c r="E17" s="4" t="s">
        <v>143</v>
      </c>
      <c r="F17" s="6">
        <v>1</v>
      </c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4"/>
      <c r="AO17" s="4"/>
      <c r="AP17" s="4">
        <f t="shared" si="0"/>
        <v>1</v>
      </c>
    </row>
    <row r="18" spans="4:42" x14ac:dyDescent="0.25">
      <c r="D18" s="3" t="s">
        <v>11</v>
      </c>
      <c r="E18" s="4" t="s">
        <v>142</v>
      </c>
      <c r="F18" s="6"/>
      <c r="G18" s="6">
        <v>1</v>
      </c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4"/>
      <c r="AO18" s="4"/>
      <c r="AP18" s="4">
        <f t="shared" si="0"/>
        <v>1</v>
      </c>
    </row>
    <row r="19" spans="4:42" x14ac:dyDescent="0.25">
      <c r="D19" s="11" t="s">
        <v>11</v>
      </c>
      <c r="E19" s="12" t="s">
        <v>158</v>
      </c>
      <c r="F19" s="26"/>
      <c r="G19" s="26">
        <v>1</v>
      </c>
      <c r="H19" s="26"/>
      <c r="I19" s="26"/>
      <c r="J19" s="26"/>
      <c r="K19" s="26">
        <v>1</v>
      </c>
      <c r="L19" s="26">
        <v>1</v>
      </c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12"/>
      <c r="AO19" s="12"/>
      <c r="AP19" s="12">
        <f t="shared" si="0"/>
        <v>3</v>
      </c>
    </row>
    <row r="20" spans="4:42" ht="15.75" thickBot="1" x14ac:dyDescent="0.3">
      <c r="D20" s="7" t="s">
        <v>11</v>
      </c>
      <c r="E20" s="8" t="s">
        <v>12</v>
      </c>
      <c r="F20" s="8"/>
      <c r="G20" s="8">
        <v>1</v>
      </c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>
        <f t="shared" si="0"/>
        <v>1</v>
      </c>
    </row>
    <row r="21" spans="4:42" x14ac:dyDescent="0.25">
      <c r="D21" s="5" t="s">
        <v>14</v>
      </c>
      <c r="E21" s="6" t="s">
        <v>13</v>
      </c>
      <c r="F21" s="6"/>
      <c r="G21" s="6"/>
      <c r="H21" s="6">
        <v>1</v>
      </c>
      <c r="I21" s="6"/>
      <c r="J21" s="6"/>
      <c r="K21" s="6"/>
      <c r="L21" s="6"/>
      <c r="M21" s="6"/>
      <c r="N21" s="6"/>
      <c r="O21" s="6"/>
      <c r="P21" s="6">
        <v>1</v>
      </c>
      <c r="Q21" s="6"/>
      <c r="R21" s="6"/>
      <c r="S21" s="6"/>
      <c r="T21" s="6"/>
      <c r="U21" s="6"/>
      <c r="V21" s="6">
        <v>1</v>
      </c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>
        <v>1</v>
      </c>
      <c r="AI21" s="6"/>
      <c r="AJ21" s="6"/>
      <c r="AK21" s="6"/>
      <c r="AL21" s="6"/>
      <c r="AM21" s="6"/>
      <c r="AN21" s="6"/>
      <c r="AO21" s="6"/>
      <c r="AP21" s="6">
        <f t="shared" si="0"/>
        <v>4</v>
      </c>
    </row>
    <row r="22" spans="4:42" x14ac:dyDescent="0.25">
      <c r="D22" s="3" t="s">
        <v>14</v>
      </c>
      <c r="E22" s="4" t="s">
        <v>147</v>
      </c>
      <c r="F22" s="6"/>
      <c r="G22" s="6"/>
      <c r="H22" s="6">
        <v>1</v>
      </c>
      <c r="I22" s="6"/>
      <c r="J22" s="6"/>
      <c r="K22" s="6"/>
      <c r="L22" s="6"/>
      <c r="M22" s="6"/>
      <c r="N22" s="6"/>
      <c r="O22" s="6"/>
      <c r="P22" s="6">
        <v>1</v>
      </c>
      <c r="Q22" s="6"/>
      <c r="R22" s="6"/>
      <c r="S22" s="6"/>
      <c r="T22" s="6"/>
      <c r="U22" s="6"/>
      <c r="V22" s="6">
        <v>1</v>
      </c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>
        <v>1</v>
      </c>
      <c r="AI22" s="6"/>
      <c r="AJ22" s="6"/>
      <c r="AK22" s="6"/>
      <c r="AL22" s="6"/>
      <c r="AM22" s="6"/>
      <c r="AN22" s="4"/>
      <c r="AO22" s="4"/>
      <c r="AP22" s="4">
        <f t="shared" si="0"/>
        <v>4</v>
      </c>
    </row>
    <row r="23" spans="4:42" x14ac:dyDescent="0.25">
      <c r="D23" s="11" t="s">
        <v>14</v>
      </c>
      <c r="E23" s="12" t="s">
        <v>15</v>
      </c>
      <c r="F23" s="26"/>
      <c r="G23" s="26">
        <v>1</v>
      </c>
      <c r="H23" s="26"/>
      <c r="I23" s="26">
        <v>1</v>
      </c>
      <c r="J23" s="26"/>
      <c r="K23" s="26">
        <v>1</v>
      </c>
      <c r="L23" s="26"/>
      <c r="M23" s="26"/>
      <c r="N23" s="26"/>
      <c r="O23" s="26">
        <v>1</v>
      </c>
      <c r="P23" s="26"/>
      <c r="Q23" s="26"/>
      <c r="R23" s="26"/>
      <c r="S23" s="26"/>
      <c r="T23" s="26">
        <v>1</v>
      </c>
      <c r="U23" s="26"/>
      <c r="V23" s="26">
        <v>1</v>
      </c>
      <c r="W23" s="26"/>
      <c r="X23" s="26"/>
      <c r="Y23" s="26"/>
      <c r="Z23" s="26"/>
      <c r="AA23" s="26"/>
      <c r="AB23" s="26"/>
      <c r="AC23" s="26"/>
      <c r="AD23" s="26"/>
      <c r="AE23" s="26"/>
      <c r="AF23" s="26">
        <v>1</v>
      </c>
      <c r="AG23" s="26"/>
      <c r="AH23" s="26">
        <v>2</v>
      </c>
      <c r="AI23" s="26"/>
      <c r="AJ23" s="26"/>
      <c r="AK23" s="26"/>
      <c r="AL23" s="26"/>
      <c r="AM23" s="26"/>
      <c r="AN23" s="12"/>
      <c r="AO23" s="12"/>
      <c r="AP23" s="12">
        <f t="shared" si="0"/>
        <v>8</v>
      </c>
    </row>
    <row r="24" spans="4:42" ht="15.75" thickBot="1" x14ac:dyDescent="0.3">
      <c r="D24" s="7" t="s">
        <v>14</v>
      </c>
      <c r="E24" s="8" t="s">
        <v>16</v>
      </c>
      <c r="F24" s="8">
        <v>1</v>
      </c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>
        <v>1</v>
      </c>
      <c r="X24" s="8"/>
      <c r="Y24" s="8"/>
      <c r="Z24" s="8"/>
      <c r="AA24" s="8"/>
      <c r="AB24" s="8"/>
      <c r="AC24" s="8"/>
      <c r="AD24" s="8"/>
      <c r="AE24" s="8"/>
      <c r="AF24" s="8"/>
      <c r="AG24" s="8">
        <v>1</v>
      </c>
      <c r="AH24" s="8">
        <v>1</v>
      </c>
      <c r="AI24" s="8"/>
      <c r="AJ24" s="8"/>
      <c r="AK24" s="8"/>
      <c r="AL24" s="8"/>
      <c r="AM24" s="8"/>
      <c r="AN24" s="8"/>
      <c r="AO24" s="8"/>
      <c r="AP24" s="8">
        <f t="shared" si="0"/>
        <v>4</v>
      </c>
    </row>
    <row r="25" spans="4:42" x14ac:dyDescent="0.25">
      <c r="D25" s="5" t="s">
        <v>24</v>
      </c>
      <c r="E25" s="6" t="s">
        <v>17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>
        <v>1</v>
      </c>
      <c r="AC25" s="6">
        <v>1</v>
      </c>
      <c r="AD25" s="6">
        <v>1</v>
      </c>
      <c r="AE25" s="6"/>
      <c r="AF25" s="6"/>
      <c r="AG25" s="6"/>
      <c r="AH25" s="6"/>
      <c r="AI25" s="6">
        <v>1</v>
      </c>
      <c r="AJ25" s="6"/>
      <c r="AK25" s="6"/>
      <c r="AL25" s="6"/>
      <c r="AM25" s="6"/>
      <c r="AN25" s="6"/>
      <c r="AO25" s="6"/>
      <c r="AP25" s="6">
        <f t="shared" si="0"/>
        <v>4</v>
      </c>
    </row>
    <row r="26" spans="4:42" x14ac:dyDescent="0.25">
      <c r="D26" s="3" t="s">
        <v>24</v>
      </c>
      <c r="E26" s="4" t="s">
        <v>18</v>
      </c>
      <c r="F26" s="6"/>
      <c r="G26" s="6">
        <v>1</v>
      </c>
      <c r="H26" s="6"/>
      <c r="I26" s="6"/>
      <c r="J26" s="6">
        <v>2</v>
      </c>
      <c r="K26" s="6">
        <v>1</v>
      </c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>
        <v>1</v>
      </c>
      <c r="Y26" s="6">
        <v>1</v>
      </c>
      <c r="Z26" s="6">
        <v>1</v>
      </c>
      <c r="AA26" s="6">
        <v>1</v>
      </c>
      <c r="AB26" s="6"/>
      <c r="AC26" s="6"/>
      <c r="AD26" s="6"/>
      <c r="AE26" s="6"/>
      <c r="AF26" s="6">
        <v>1</v>
      </c>
      <c r="AG26" s="6">
        <v>1</v>
      </c>
      <c r="AH26" s="6">
        <v>1</v>
      </c>
      <c r="AI26" s="6"/>
      <c r="AJ26" s="6"/>
      <c r="AK26" s="6"/>
      <c r="AL26" s="6"/>
      <c r="AM26" s="6"/>
      <c r="AN26" s="4"/>
      <c r="AO26" s="4"/>
      <c r="AP26" s="4">
        <f t="shared" si="0"/>
        <v>10</v>
      </c>
    </row>
    <row r="27" spans="4:42" x14ac:dyDescent="0.25">
      <c r="D27" s="3" t="s">
        <v>24</v>
      </c>
      <c r="E27" s="4" t="s">
        <v>140</v>
      </c>
      <c r="F27" s="6"/>
      <c r="G27" s="6"/>
      <c r="H27" s="6"/>
      <c r="I27" s="6"/>
      <c r="J27" s="6"/>
      <c r="K27" s="6"/>
      <c r="L27" s="6">
        <v>1</v>
      </c>
      <c r="M27" s="6"/>
      <c r="N27" s="6"/>
      <c r="O27" s="6"/>
      <c r="P27" s="6"/>
      <c r="Q27" s="6"/>
      <c r="R27" s="6"/>
      <c r="S27" s="6"/>
      <c r="T27" s="6"/>
      <c r="U27" s="6"/>
      <c r="V27" s="6"/>
      <c r="W27" s="6">
        <v>1</v>
      </c>
      <c r="X27" s="6"/>
      <c r="Y27" s="6"/>
      <c r="Z27" s="6"/>
      <c r="AA27" s="6"/>
      <c r="AB27" s="6"/>
      <c r="AC27" s="6">
        <v>1</v>
      </c>
      <c r="AD27" s="6">
        <v>1</v>
      </c>
      <c r="AE27" s="6"/>
      <c r="AF27" s="6"/>
      <c r="AG27" s="6"/>
      <c r="AH27" s="6"/>
      <c r="AI27" s="6"/>
      <c r="AJ27" s="6"/>
      <c r="AK27" s="6"/>
      <c r="AL27" s="6"/>
      <c r="AM27" s="6"/>
      <c r="AN27" s="4"/>
      <c r="AO27" s="4"/>
      <c r="AP27" s="4">
        <f t="shared" si="0"/>
        <v>4</v>
      </c>
    </row>
    <row r="28" spans="4:42" x14ac:dyDescent="0.25">
      <c r="D28" s="3" t="s">
        <v>24</v>
      </c>
      <c r="E28" s="4" t="s">
        <v>20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>
        <v>1</v>
      </c>
      <c r="R28" s="6"/>
      <c r="S28" s="6"/>
      <c r="T28" s="6">
        <v>1</v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>
        <v>1</v>
      </c>
      <c r="AH28" s="6"/>
      <c r="AI28" s="6">
        <v>1</v>
      </c>
      <c r="AJ28" s="6"/>
      <c r="AK28" s="6"/>
      <c r="AL28" s="6"/>
      <c r="AM28" s="6"/>
      <c r="AN28" s="4"/>
      <c r="AO28" s="4"/>
      <c r="AP28" s="4">
        <f t="shared" si="0"/>
        <v>4</v>
      </c>
    </row>
    <row r="29" spans="4:42" x14ac:dyDescent="0.25">
      <c r="D29" s="3" t="s">
        <v>24</v>
      </c>
      <c r="E29" s="4" t="s">
        <v>157</v>
      </c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>
        <v>1</v>
      </c>
      <c r="R29" s="6"/>
      <c r="S29" s="6"/>
      <c r="T29" s="6"/>
      <c r="U29" s="6"/>
      <c r="V29" s="6"/>
      <c r="W29" s="6">
        <v>1</v>
      </c>
      <c r="X29" s="6">
        <v>1</v>
      </c>
      <c r="Y29" s="6">
        <v>1</v>
      </c>
      <c r="Z29" s="6">
        <v>1</v>
      </c>
      <c r="AA29" s="6">
        <v>1</v>
      </c>
      <c r="AB29" s="6"/>
      <c r="AC29" s="6"/>
      <c r="AD29" s="6"/>
      <c r="AE29" s="6"/>
      <c r="AF29" s="6"/>
      <c r="AG29" s="6"/>
      <c r="AH29" s="6"/>
      <c r="AI29" s="6">
        <v>2</v>
      </c>
      <c r="AJ29" s="6"/>
      <c r="AK29" s="6"/>
      <c r="AL29" s="6"/>
      <c r="AM29" s="6"/>
      <c r="AN29" s="4"/>
      <c r="AO29" s="4"/>
      <c r="AP29" s="4">
        <f t="shared" si="0"/>
        <v>7</v>
      </c>
    </row>
    <row r="30" spans="4:42" x14ac:dyDescent="0.25">
      <c r="D30" s="3" t="s">
        <v>24</v>
      </c>
      <c r="E30" s="4" t="s">
        <v>156</v>
      </c>
      <c r="F30" s="6"/>
      <c r="G30" s="6">
        <v>1</v>
      </c>
      <c r="H30" s="6"/>
      <c r="I30" s="6"/>
      <c r="J30" s="6">
        <v>1</v>
      </c>
      <c r="K30" s="6">
        <v>1</v>
      </c>
      <c r="L30" s="6">
        <v>1</v>
      </c>
      <c r="M30" s="6"/>
      <c r="N30" s="6"/>
      <c r="O30" s="6"/>
      <c r="P30" s="6"/>
      <c r="Q30" s="6"/>
      <c r="R30" s="6"/>
      <c r="S30" s="6"/>
      <c r="T30" s="6">
        <v>1</v>
      </c>
      <c r="U30" s="6"/>
      <c r="V30" s="6"/>
      <c r="W30" s="6"/>
      <c r="X30" s="6"/>
      <c r="Y30" s="6"/>
      <c r="Z30" s="6"/>
      <c r="AA30" s="6"/>
      <c r="AB30" s="6"/>
      <c r="AC30" s="6">
        <v>1</v>
      </c>
      <c r="AD30" s="6">
        <v>1</v>
      </c>
      <c r="AE30" s="6">
        <v>1</v>
      </c>
      <c r="AF30" s="6">
        <v>1</v>
      </c>
      <c r="AG30" s="6"/>
      <c r="AH30" s="6">
        <v>1</v>
      </c>
      <c r="AI30" s="6"/>
      <c r="AJ30" s="6"/>
      <c r="AK30" s="6"/>
      <c r="AL30" s="6"/>
      <c r="AM30" s="6"/>
      <c r="AN30" s="4"/>
      <c r="AO30" s="4"/>
      <c r="AP30" s="4">
        <f t="shared" si="0"/>
        <v>10</v>
      </c>
    </row>
    <row r="31" spans="4:42" x14ac:dyDescent="0.25">
      <c r="D31" s="3" t="s">
        <v>24</v>
      </c>
      <c r="E31" s="4" t="s">
        <v>22</v>
      </c>
      <c r="F31" s="6"/>
      <c r="G31" s="6">
        <v>1</v>
      </c>
      <c r="H31" s="6"/>
      <c r="I31" s="6"/>
      <c r="J31" s="6"/>
      <c r="K31" s="6">
        <v>1</v>
      </c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>
        <v>2</v>
      </c>
      <c r="AG31" s="6"/>
      <c r="AH31" s="6">
        <v>1</v>
      </c>
      <c r="AI31" s="6"/>
      <c r="AJ31" s="6"/>
      <c r="AK31" s="6"/>
      <c r="AL31" s="6"/>
      <c r="AM31" s="6"/>
      <c r="AN31" s="4"/>
      <c r="AO31" s="4"/>
      <c r="AP31" s="4">
        <f t="shared" si="0"/>
        <v>4</v>
      </c>
    </row>
    <row r="32" spans="4:42" x14ac:dyDescent="0.25">
      <c r="D32" s="3" t="s">
        <v>24</v>
      </c>
      <c r="E32" s="4" t="s">
        <v>23</v>
      </c>
      <c r="F32" s="6"/>
      <c r="G32" s="6"/>
      <c r="H32" s="6"/>
      <c r="I32" s="6"/>
      <c r="J32" s="6"/>
      <c r="K32" s="6">
        <v>1</v>
      </c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>
        <v>1</v>
      </c>
      <c r="X32" s="6"/>
      <c r="Y32" s="6"/>
      <c r="Z32" s="6"/>
      <c r="AA32" s="6"/>
      <c r="AB32" s="6"/>
      <c r="AC32" s="6"/>
      <c r="AD32" s="6"/>
      <c r="AE32" s="6"/>
      <c r="AF32" s="6">
        <v>1</v>
      </c>
      <c r="AG32" s="6"/>
      <c r="AH32" s="6"/>
      <c r="AI32" s="6"/>
      <c r="AJ32" s="6"/>
      <c r="AK32" s="6"/>
      <c r="AL32" s="6"/>
      <c r="AM32" s="6"/>
      <c r="AN32" s="4"/>
      <c r="AO32" s="4"/>
      <c r="AP32" s="4">
        <f t="shared" si="0"/>
        <v>3</v>
      </c>
    </row>
    <row r="33" spans="4:42" x14ac:dyDescent="0.25">
      <c r="D33" s="3" t="s">
        <v>24</v>
      </c>
      <c r="E33" s="4" t="s">
        <v>161</v>
      </c>
      <c r="F33" s="6"/>
      <c r="G33" s="6"/>
      <c r="H33" s="6"/>
      <c r="I33" s="6"/>
      <c r="J33" s="6"/>
      <c r="K33" s="6">
        <v>1</v>
      </c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>
        <v>1</v>
      </c>
      <c r="X33" s="6"/>
      <c r="Y33" s="6"/>
      <c r="Z33" s="6"/>
      <c r="AA33" s="6"/>
      <c r="AB33" s="6"/>
      <c r="AC33" s="6"/>
      <c r="AD33" s="6"/>
      <c r="AE33" s="6">
        <v>1</v>
      </c>
      <c r="AF33" s="6">
        <v>1</v>
      </c>
      <c r="AG33" s="6"/>
      <c r="AH33" s="6"/>
      <c r="AI33" s="6"/>
      <c r="AJ33" s="6"/>
      <c r="AK33" s="6"/>
      <c r="AL33" s="6"/>
      <c r="AM33" s="6"/>
      <c r="AN33" s="4"/>
      <c r="AO33" s="4"/>
      <c r="AP33" s="4">
        <f t="shared" si="0"/>
        <v>4</v>
      </c>
    </row>
    <row r="34" spans="4:42" x14ac:dyDescent="0.25">
      <c r="D34" s="3" t="s">
        <v>24</v>
      </c>
      <c r="E34" s="4" t="s">
        <v>155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>
        <v>1</v>
      </c>
      <c r="AF34" s="6"/>
      <c r="AG34" s="6">
        <v>1</v>
      </c>
      <c r="AH34" s="6"/>
      <c r="AI34" s="6">
        <v>1</v>
      </c>
      <c r="AJ34" s="6"/>
      <c r="AK34" s="6"/>
      <c r="AL34" s="6"/>
      <c r="AM34" s="6"/>
      <c r="AN34" s="4"/>
      <c r="AO34" s="4"/>
      <c r="AP34" s="4">
        <f t="shared" si="0"/>
        <v>3</v>
      </c>
    </row>
    <row r="35" spans="4:42" x14ac:dyDescent="0.25">
      <c r="D35" s="3" t="s">
        <v>24</v>
      </c>
      <c r="E35" s="4" t="s">
        <v>154</v>
      </c>
      <c r="F35" s="6"/>
      <c r="G35" s="6">
        <v>1</v>
      </c>
      <c r="H35" s="6"/>
      <c r="I35" s="6"/>
      <c r="J35" s="6">
        <v>1</v>
      </c>
      <c r="K35" s="6">
        <v>1</v>
      </c>
      <c r="L35" s="6"/>
      <c r="M35" s="6"/>
      <c r="N35" s="6"/>
      <c r="O35" s="6"/>
      <c r="P35" s="6"/>
      <c r="Q35" s="6"/>
      <c r="R35" s="6"/>
      <c r="S35" s="6"/>
      <c r="T35" s="6">
        <v>1</v>
      </c>
      <c r="U35" s="6">
        <v>1</v>
      </c>
      <c r="V35" s="6">
        <v>1</v>
      </c>
      <c r="W35" s="6"/>
      <c r="X35" s="6"/>
      <c r="Y35" s="6"/>
      <c r="Z35" s="6"/>
      <c r="AA35" s="6"/>
      <c r="AB35" s="6"/>
      <c r="AC35" s="6"/>
      <c r="AD35" s="6"/>
      <c r="AE35" s="6">
        <v>1</v>
      </c>
      <c r="AF35" s="6">
        <v>1</v>
      </c>
      <c r="AG35" s="6"/>
      <c r="AH35" s="6">
        <v>1</v>
      </c>
      <c r="AI35" s="6"/>
      <c r="AJ35" s="6">
        <v>1</v>
      </c>
      <c r="AK35" s="6">
        <v>1</v>
      </c>
      <c r="AL35" s="6">
        <v>1</v>
      </c>
      <c r="AM35" s="6">
        <v>1</v>
      </c>
      <c r="AN35" s="4"/>
      <c r="AO35" s="4"/>
      <c r="AP35" s="4">
        <f t="shared" si="0"/>
        <v>13</v>
      </c>
    </row>
    <row r="36" spans="4:42" x14ac:dyDescent="0.25">
      <c r="D36" s="3" t="s">
        <v>24</v>
      </c>
      <c r="E36" s="4" t="s">
        <v>153</v>
      </c>
      <c r="F36" s="6"/>
      <c r="G36" s="6"/>
      <c r="H36" s="6"/>
      <c r="I36" s="6"/>
      <c r="J36" s="6"/>
      <c r="K36" s="6"/>
      <c r="L36" s="6"/>
      <c r="M36" s="6"/>
      <c r="N36" s="6">
        <v>1</v>
      </c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>
        <v>1</v>
      </c>
      <c r="AD36" s="6">
        <v>1</v>
      </c>
      <c r="AE36" s="6">
        <v>1</v>
      </c>
      <c r="AF36" s="6"/>
      <c r="AG36" s="6"/>
      <c r="AH36" s="6"/>
      <c r="AI36" s="6"/>
      <c r="AJ36" s="6"/>
      <c r="AK36" s="6"/>
      <c r="AL36" s="6"/>
      <c r="AM36" s="6"/>
      <c r="AN36" s="4"/>
      <c r="AO36" s="4"/>
      <c r="AP36" s="4">
        <f t="shared" si="0"/>
        <v>4</v>
      </c>
    </row>
    <row r="37" spans="4:42" x14ac:dyDescent="0.25">
      <c r="D37" s="3" t="s">
        <v>24</v>
      </c>
      <c r="E37" s="4" t="s">
        <v>27</v>
      </c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>
        <v>1</v>
      </c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4"/>
      <c r="AO37" s="4"/>
      <c r="AP37" s="4">
        <f t="shared" ref="AP37:AP54" si="1">COUNTA(F37:AO37)</f>
        <v>1</v>
      </c>
    </row>
    <row r="38" spans="4:42" x14ac:dyDescent="0.25">
      <c r="D38" s="3" t="s">
        <v>24</v>
      </c>
      <c r="E38" s="4" t="s">
        <v>28</v>
      </c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>
        <v>1</v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>
        <v>1</v>
      </c>
      <c r="AJ38" s="6"/>
      <c r="AK38" s="6"/>
      <c r="AL38" s="6"/>
      <c r="AM38" s="6"/>
      <c r="AN38" s="4"/>
      <c r="AO38" s="4"/>
      <c r="AP38" s="4">
        <f t="shared" si="1"/>
        <v>2</v>
      </c>
    </row>
    <row r="39" spans="4:42" x14ac:dyDescent="0.25">
      <c r="D39" s="3" t="s">
        <v>24</v>
      </c>
      <c r="E39" s="4" t="s">
        <v>29</v>
      </c>
      <c r="F39" s="6"/>
      <c r="G39" s="6"/>
      <c r="H39" s="6"/>
      <c r="I39" s="6"/>
      <c r="J39" s="6">
        <v>1</v>
      </c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4"/>
      <c r="AO39" s="4"/>
      <c r="AP39" s="4">
        <f t="shared" si="1"/>
        <v>1</v>
      </c>
    </row>
    <row r="40" spans="4:42" x14ac:dyDescent="0.25">
      <c r="D40" s="3" t="s">
        <v>24</v>
      </c>
      <c r="E40" s="4" t="s">
        <v>30</v>
      </c>
      <c r="F40" s="6"/>
      <c r="G40" s="6"/>
      <c r="H40" s="6"/>
      <c r="I40" s="6">
        <v>1</v>
      </c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>
        <v>1</v>
      </c>
      <c r="AF40" s="6"/>
      <c r="AG40" s="6"/>
      <c r="AH40" s="6"/>
      <c r="AI40" s="6"/>
      <c r="AJ40" s="6"/>
      <c r="AK40" s="6"/>
      <c r="AL40" s="6"/>
      <c r="AM40" s="6"/>
      <c r="AN40" s="4"/>
      <c r="AO40" s="4"/>
      <c r="AP40" s="4">
        <f t="shared" si="1"/>
        <v>2</v>
      </c>
    </row>
    <row r="41" spans="4:42" x14ac:dyDescent="0.25">
      <c r="D41" s="3" t="s">
        <v>24</v>
      </c>
      <c r="E41" s="4" t="s">
        <v>31</v>
      </c>
      <c r="F41" s="6"/>
      <c r="G41" s="6"/>
      <c r="H41" s="6"/>
      <c r="I41" s="6">
        <v>1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>
        <v>1</v>
      </c>
      <c r="AF41" s="6"/>
      <c r="AG41" s="6"/>
      <c r="AH41" s="6"/>
      <c r="AI41" s="6"/>
      <c r="AJ41" s="6"/>
      <c r="AK41" s="6"/>
      <c r="AL41" s="6"/>
      <c r="AM41" s="6"/>
      <c r="AN41" s="4"/>
      <c r="AO41" s="4"/>
      <c r="AP41" s="4">
        <f t="shared" si="1"/>
        <v>2</v>
      </c>
    </row>
    <row r="42" spans="4:42" ht="15.75" thickBot="1" x14ac:dyDescent="0.3">
      <c r="D42" s="7" t="s">
        <v>24</v>
      </c>
      <c r="E42" s="8" t="s">
        <v>152</v>
      </c>
      <c r="F42" s="8"/>
      <c r="G42" s="8"/>
      <c r="H42" s="8"/>
      <c r="I42" s="8">
        <v>1</v>
      </c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>
        <v>1</v>
      </c>
      <c r="AC42" s="8">
        <v>1</v>
      </c>
      <c r="AD42" s="8">
        <v>1</v>
      </c>
      <c r="AE42" s="8">
        <v>1</v>
      </c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>
        <f t="shared" si="1"/>
        <v>5</v>
      </c>
    </row>
    <row r="43" spans="4:42" x14ac:dyDescent="0.25">
      <c r="D43" s="3" t="s">
        <v>33</v>
      </c>
      <c r="E43" s="4" t="s">
        <v>32</v>
      </c>
      <c r="F43" s="6"/>
      <c r="G43" s="6"/>
      <c r="H43" s="6"/>
      <c r="I43" s="6"/>
      <c r="J43" s="6"/>
      <c r="K43" s="6"/>
      <c r="L43" s="6">
        <v>1</v>
      </c>
      <c r="M43" s="6"/>
      <c r="N43" s="6"/>
      <c r="O43" s="6">
        <v>1</v>
      </c>
      <c r="P43" s="6">
        <v>1</v>
      </c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>
        <v>1</v>
      </c>
      <c r="AF43" s="6"/>
      <c r="AG43" s="6"/>
      <c r="AH43" s="6"/>
      <c r="AI43" s="6"/>
      <c r="AJ43" s="6"/>
      <c r="AK43" s="6"/>
      <c r="AL43" s="6"/>
      <c r="AM43" s="6"/>
      <c r="AN43" s="4"/>
      <c r="AO43" s="4"/>
      <c r="AP43" s="4">
        <f t="shared" si="1"/>
        <v>4</v>
      </c>
    </row>
    <row r="44" spans="4:42" x14ac:dyDescent="0.25">
      <c r="D44" s="3" t="s">
        <v>33</v>
      </c>
      <c r="E44" s="4" t="s">
        <v>148</v>
      </c>
      <c r="F44" s="6"/>
      <c r="G44" s="6"/>
      <c r="H44" s="6"/>
      <c r="I44" s="6"/>
      <c r="J44" s="6">
        <v>1</v>
      </c>
      <c r="K44" s="6"/>
      <c r="L44" s="6"/>
      <c r="M44" s="6"/>
      <c r="N44" s="6"/>
      <c r="O44" s="6"/>
      <c r="P44" s="6">
        <v>1</v>
      </c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>
        <v>1</v>
      </c>
      <c r="AH44" s="6"/>
      <c r="AI44" s="6"/>
      <c r="AJ44" s="6"/>
      <c r="AK44" s="6"/>
      <c r="AL44" s="6"/>
      <c r="AM44" s="6"/>
      <c r="AN44" s="4"/>
      <c r="AO44" s="4"/>
      <c r="AP44" s="4">
        <f t="shared" si="1"/>
        <v>3</v>
      </c>
    </row>
    <row r="45" spans="4:42" ht="15.75" thickBot="1" x14ac:dyDescent="0.3">
      <c r="D45" s="7" t="s">
        <v>33</v>
      </c>
      <c r="E45" s="8" t="s">
        <v>34</v>
      </c>
      <c r="F45" s="8"/>
      <c r="G45" s="8">
        <v>1</v>
      </c>
      <c r="H45" s="8"/>
      <c r="I45" s="8"/>
      <c r="J45" s="8"/>
      <c r="K45" s="8">
        <v>2</v>
      </c>
      <c r="L45" s="8">
        <v>1</v>
      </c>
      <c r="M45" s="8"/>
      <c r="N45" s="8"/>
      <c r="O45" s="8"/>
      <c r="P45" s="8"/>
      <c r="Q45" s="8"/>
      <c r="R45" s="8"/>
      <c r="S45" s="8"/>
      <c r="T45" s="8"/>
      <c r="U45" s="8"/>
      <c r="V45" s="8"/>
      <c r="W45" s="8">
        <v>1</v>
      </c>
      <c r="X45" s="8"/>
      <c r="Y45" s="8"/>
      <c r="Z45" s="8"/>
      <c r="AA45" s="8"/>
      <c r="AB45" s="8"/>
      <c r="AC45" s="8"/>
      <c r="AD45" s="8"/>
      <c r="AE45" s="8"/>
      <c r="AF45" s="8">
        <v>1</v>
      </c>
      <c r="AG45" s="8"/>
      <c r="AH45" s="8">
        <v>1</v>
      </c>
      <c r="AI45" s="8"/>
      <c r="AJ45" s="8"/>
      <c r="AK45" s="8"/>
      <c r="AL45" s="8"/>
      <c r="AM45" s="8"/>
      <c r="AN45" s="8"/>
      <c r="AO45" s="8"/>
      <c r="AP45" s="8">
        <f t="shared" si="1"/>
        <v>6</v>
      </c>
    </row>
    <row r="46" spans="4:42" x14ac:dyDescent="0.25">
      <c r="D46" s="3" t="s">
        <v>35</v>
      </c>
      <c r="E46" s="4" t="s">
        <v>164</v>
      </c>
      <c r="F46" s="6"/>
      <c r="G46" s="6">
        <v>1</v>
      </c>
      <c r="H46" s="6"/>
      <c r="I46" s="6"/>
      <c r="J46" s="6"/>
      <c r="K46" s="6">
        <v>1</v>
      </c>
      <c r="L46" s="6"/>
      <c r="M46" s="6"/>
      <c r="N46" s="6"/>
      <c r="O46" s="6"/>
      <c r="P46" s="6"/>
      <c r="Q46" s="6">
        <v>1</v>
      </c>
      <c r="R46" s="6"/>
      <c r="S46" s="6"/>
      <c r="T46" s="6"/>
      <c r="U46" s="6"/>
      <c r="V46" s="6"/>
      <c r="W46" s="6"/>
      <c r="X46" s="6"/>
      <c r="Y46" s="6"/>
      <c r="Z46" s="6"/>
      <c r="AA46" s="6"/>
      <c r="AB46" s="6">
        <v>1</v>
      </c>
      <c r="AC46" s="6">
        <v>1</v>
      </c>
      <c r="AD46" s="6">
        <v>1</v>
      </c>
      <c r="AE46" s="6"/>
      <c r="AF46" s="6">
        <v>1</v>
      </c>
      <c r="AG46" s="6"/>
      <c r="AH46" s="6">
        <v>1</v>
      </c>
      <c r="AI46" s="6">
        <v>1</v>
      </c>
      <c r="AJ46" s="6"/>
      <c r="AK46" s="6"/>
      <c r="AL46" s="6"/>
      <c r="AM46" s="6"/>
      <c r="AN46" s="4"/>
      <c r="AO46" s="4"/>
      <c r="AP46" s="4">
        <f t="shared" si="1"/>
        <v>9</v>
      </c>
    </row>
    <row r="47" spans="4:42" ht="15" customHeight="1" x14ac:dyDescent="0.25">
      <c r="D47" s="11" t="s">
        <v>35</v>
      </c>
      <c r="E47" s="12" t="s">
        <v>150</v>
      </c>
      <c r="F47" s="26"/>
      <c r="G47" s="26"/>
      <c r="H47" s="26"/>
      <c r="I47" s="26"/>
      <c r="J47" s="26"/>
      <c r="K47" s="26">
        <v>1</v>
      </c>
      <c r="L47" s="26">
        <v>1</v>
      </c>
      <c r="M47" s="26"/>
      <c r="N47" s="26"/>
      <c r="O47" s="26">
        <v>1</v>
      </c>
      <c r="P47" s="26"/>
      <c r="Q47" s="26"/>
      <c r="R47" s="26"/>
      <c r="S47" s="26"/>
      <c r="T47" s="26"/>
      <c r="U47" s="26">
        <v>1</v>
      </c>
      <c r="V47" s="26">
        <v>1</v>
      </c>
      <c r="W47" s="26"/>
      <c r="X47" s="26"/>
      <c r="Y47" s="26"/>
      <c r="Z47" s="26"/>
      <c r="AA47" s="26"/>
      <c r="AB47" s="26"/>
      <c r="AC47" s="26"/>
      <c r="AD47" s="26"/>
      <c r="AE47" s="26">
        <v>1</v>
      </c>
      <c r="AF47" s="26"/>
      <c r="AG47" s="26">
        <v>1</v>
      </c>
      <c r="AH47" s="26"/>
      <c r="AI47" s="26"/>
      <c r="AJ47" s="26">
        <v>1</v>
      </c>
      <c r="AK47" s="26">
        <v>1</v>
      </c>
      <c r="AL47" s="26">
        <v>1</v>
      </c>
      <c r="AM47" s="26">
        <v>1</v>
      </c>
      <c r="AN47" s="12"/>
      <c r="AO47" s="12"/>
      <c r="AP47" s="12">
        <f t="shared" si="1"/>
        <v>11</v>
      </c>
    </row>
    <row r="48" spans="4:42" ht="15.75" thickBot="1" x14ac:dyDescent="0.3">
      <c r="D48" s="7" t="s">
        <v>35</v>
      </c>
      <c r="E48" s="8" t="s">
        <v>149</v>
      </c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>
        <v>1</v>
      </c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>
        <f t="shared" si="1"/>
        <v>1</v>
      </c>
    </row>
    <row r="49" spans="4:42" x14ac:dyDescent="0.25">
      <c r="D49" s="5" t="s">
        <v>36</v>
      </c>
      <c r="E49" s="6" t="s">
        <v>37</v>
      </c>
      <c r="F49" s="36"/>
      <c r="G49" s="36">
        <v>20</v>
      </c>
      <c r="H49" s="36">
        <v>12.5</v>
      </c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>
        <v>20</v>
      </c>
      <c r="T49" s="36">
        <v>20</v>
      </c>
      <c r="U49" s="36">
        <v>25</v>
      </c>
      <c r="V49" s="36">
        <v>25</v>
      </c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J49" s="36">
        <v>20</v>
      </c>
      <c r="AK49" s="36">
        <v>20</v>
      </c>
      <c r="AL49" s="36">
        <v>20</v>
      </c>
      <c r="AM49" s="36">
        <v>20</v>
      </c>
      <c r="AN49" s="36"/>
      <c r="AO49" s="36"/>
      <c r="AP49" s="6">
        <f t="shared" si="1"/>
        <v>10</v>
      </c>
    </row>
    <row r="50" spans="4:42" x14ac:dyDescent="0.25">
      <c r="D50" s="3" t="s">
        <v>36</v>
      </c>
      <c r="E50" s="4" t="s">
        <v>38</v>
      </c>
      <c r="F50" s="37"/>
      <c r="G50" s="37"/>
      <c r="H50" s="37"/>
      <c r="I50" s="37"/>
      <c r="J50" s="37">
        <v>20</v>
      </c>
      <c r="K50" s="37"/>
      <c r="L50" s="37">
        <v>20</v>
      </c>
      <c r="M50" s="37">
        <v>20</v>
      </c>
      <c r="N50" s="37">
        <v>20</v>
      </c>
      <c r="O50" s="37">
        <v>20</v>
      </c>
      <c r="P50" s="37">
        <v>20</v>
      </c>
      <c r="Q50" s="37">
        <v>20</v>
      </c>
      <c r="R50" s="37"/>
      <c r="S50" s="37"/>
      <c r="T50" s="37"/>
      <c r="U50" s="37"/>
      <c r="V50" s="37"/>
      <c r="W50" s="37"/>
      <c r="X50" s="37">
        <v>20</v>
      </c>
      <c r="Y50" s="37">
        <v>20</v>
      </c>
      <c r="Z50" s="37">
        <v>20</v>
      </c>
      <c r="AA50" s="37">
        <v>20</v>
      </c>
      <c r="AB50" s="37"/>
      <c r="AC50" s="37"/>
      <c r="AD50" s="37"/>
      <c r="AE50" s="37"/>
      <c r="AF50" s="37">
        <v>25.3</v>
      </c>
      <c r="AG50" s="37"/>
      <c r="AH50" s="37"/>
      <c r="AI50" s="37"/>
      <c r="AJ50" s="37"/>
      <c r="AK50" s="37"/>
      <c r="AL50" s="37"/>
      <c r="AM50" s="37"/>
      <c r="AN50" s="37"/>
      <c r="AO50" s="37"/>
      <c r="AP50" s="4">
        <f t="shared" si="1"/>
        <v>12</v>
      </c>
    </row>
    <row r="51" spans="4:42" x14ac:dyDescent="0.25">
      <c r="D51" s="3" t="s">
        <v>36</v>
      </c>
      <c r="E51" s="4" t="s">
        <v>39</v>
      </c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>
        <v>20</v>
      </c>
      <c r="S51" s="37"/>
      <c r="T51" s="37"/>
      <c r="U51" s="37"/>
      <c r="V51" s="37"/>
      <c r="W51" s="37">
        <v>13</v>
      </c>
      <c r="X51" s="37"/>
      <c r="Y51" s="37"/>
      <c r="Z51" s="37"/>
      <c r="AA51" s="37"/>
      <c r="AB51" s="37">
        <v>13</v>
      </c>
      <c r="AC51" s="37">
        <v>13</v>
      </c>
      <c r="AD51" s="37">
        <v>13</v>
      </c>
      <c r="AE51" s="37">
        <v>12.5</v>
      </c>
      <c r="AF51" s="37"/>
      <c r="AG51" s="37">
        <v>20</v>
      </c>
      <c r="AH51" s="37"/>
      <c r="AI51" s="37"/>
      <c r="AJ51" s="37"/>
      <c r="AK51" s="37"/>
      <c r="AL51" s="37"/>
      <c r="AM51" s="37"/>
      <c r="AN51" s="37"/>
      <c r="AO51" s="37"/>
      <c r="AP51" s="4">
        <f t="shared" si="1"/>
        <v>7</v>
      </c>
    </row>
    <row r="52" spans="4:42" x14ac:dyDescent="0.25">
      <c r="D52" s="3" t="s">
        <v>36</v>
      </c>
      <c r="E52" s="4" t="s">
        <v>40</v>
      </c>
      <c r="F52" s="37">
        <v>20</v>
      </c>
      <c r="G52" s="37"/>
      <c r="H52" s="37"/>
      <c r="I52" s="37"/>
      <c r="J52" s="37"/>
      <c r="K52" s="37">
        <v>20</v>
      </c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>
        <v>50</v>
      </c>
      <c r="AI52" s="37">
        <v>20</v>
      </c>
      <c r="AJ52" s="37"/>
      <c r="AK52" s="37"/>
      <c r="AL52" s="37"/>
      <c r="AM52" s="37"/>
      <c r="AN52" s="37"/>
      <c r="AO52" s="37"/>
      <c r="AP52" s="4">
        <f t="shared" si="1"/>
        <v>4</v>
      </c>
    </row>
    <row r="53" spans="4:42" ht="15.75" thickBot="1" x14ac:dyDescent="0.3">
      <c r="D53" s="7" t="s">
        <v>36</v>
      </c>
      <c r="E53" s="8" t="s">
        <v>41</v>
      </c>
      <c r="F53" s="38"/>
      <c r="G53" s="38"/>
      <c r="H53" s="38"/>
      <c r="I53" s="38">
        <v>10</v>
      </c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8">
        <f t="shared" si="1"/>
        <v>1</v>
      </c>
    </row>
    <row r="54" spans="4:42" ht="15.75" thickBot="1" x14ac:dyDescent="0.3">
      <c r="D54" s="11" t="s">
        <v>42</v>
      </c>
      <c r="E54" s="12" t="s">
        <v>43</v>
      </c>
      <c r="F54" s="12" t="s">
        <v>66</v>
      </c>
      <c r="G54" s="12" t="s">
        <v>72</v>
      </c>
      <c r="H54" s="12" t="s">
        <v>67</v>
      </c>
      <c r="I54" s="12" t="s">
        <v>87</v>
      </c>
      <c r="J54" s="12" t="s">
        <v>68</v>
      </c>
      <c r="K54" s="12" t="s">
        <v>71</v>
      </c>
      <c r="L54" s="12" t="s">
        <v>78</v>
      </c>
      <c r="M54" s="12" t="s">
        <v>78</v>
      </c>
      <c r="N54" s="12" t="s">
        <v>78</v>
      </c>
      <c r="O54" s="12" t="s">
        <v>82</v>
      </c>
      <c r="P54" s="12" t="s">
        <v>82</v>
      </c>
      <c r="Q54" s="12" t="s">
        <v>85</v>
      </c>
      <c r="R54" s="12" t="s">
        <v>67</v>
      </c>
      <c r="S54" s="12" t="s">
        <v>67</v>
      </c>
      <c r="T54" s="12" t="s">
        <v>67</v>
      </c>
      <c r="U54" s="12" t="s">
        <v>67</v>
      </c>
      <c r="V54" s="12" t="s">
        <v>71</v>
      </c>
      <c r="W54" s="12" t="s">
        <v>68</v>
      </c>
      <c r="X54" s="12" t="s">
        <v>90</v>
      </c>
      <c r="Y54" s="12" t="s">
        <v>90</v>
      </c>
      <c r="Z54" s="12" t="s">
        <v>90</v>
      </c>
      <c r="AA54" s="12" t="s">
        <v>90</v>
      </c>
      <c r="AB54" s="12" t="s">
        <v>68</v>
      </c>
      <c r="AC54" s="12" t="s">
        <v>68</v>
      </c>
      <c r="AD54" s="12" t="s">
        <v>68</v>
      </c>
      <c r="AE54" s="12" t="s">
        <v>68</v>
      </c>
      <c r="AF54" s="12" t="s">
        <v>68</v>
      </c>
      <c r="AG54" s="12" t="s">
        <v>88</v>
      </c>
      <c r="AH54" s="12" t="s">
        <v>70</v>
      </c>
      <c r="AI54" s="12" t="s">
        <v>79</v>
      </c>
      <c r="AJ54" s="12" t="s">
        <v>69</v>
      </c>
      <c r="AK54" s="12" t="s">
        <v>69</v>
      </c>
      <c r="AL54" s="12" t="s">
        <v>69</v>
      </c>
      <c r="AM54" s="12" t="s">
        <v>69</v>
      </c>
      <c r="AN54" s="12"/>
      <c r="AO54" s="12"/>
      <c r="AP54" s="12">
        <f t="shared" si="1"/>
        <v>34</v>
      </c>
    </row>
    <row r="55" spans="4:42" ht="15.75" thickBot="1" x14ac:dyDescent="0.3">
      <c r="E55" s="22" t="s">
        <v>46</v>
      </c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 t="s">
        <v>177</v>
      </c>
      <c r="X55" s="16"/>
      <c r="Y55" s="16"/>
      <c r="Z55" s="16"/>
      <c r="AA55" s="16"/>
      <c r="AB55" s="16" t="s">
        <v>182</v>
      </c>
      <c r="AC55" s="16" t="s">
        <v>184</v>
      </c>
      <c r="AD55" s="16" t="s">
        <v>186</v>
      </c>
      <c r="AE55" s="16"/>
      <c r="AF55" s="16" t="s">
        <v>190</v>
      </c>
      <c r="AG55" s="16" t="s">
        <v>191</v>
      </c>
      <c r="AH55" s="16"/>
      <c r="AI55" s="16"/>
      <c r="AJ55" s="16"/>
      <c r="AK55" s="16"/>
      <c r="AL55" s="16"/>
      <c r="AM55" s="16"/>
    </row>
    <row r="56" spans="4:42" x14ac:dyDescent="0.25">
      <c r="D56" s="1"/>
    </row>
    <row r="57" spans="4:42" x14ac:dyDescent="0.25">
      <c r="D57" s="1"/>
    </row>
    <row r="58" spans="4:42" x14ac:dyDescent="0.25">
      <c r="D58" s="1"/>
    </row>
    <row r="59" spans="4:42" x14ac:dyDescent="0.25">
      <c r="D59" s="1"/>
      <c r="E59" s="40"/>
      <c r="H59" s="40"/>
    </row>
  </sheetData>
  <mergeCells count="1">
    <mergeCell ref="D2:D3"/>
  </mergeCells>
  <phoneticPr fontId="2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31D48-8F9E-460A-911C-6AE202AF886B}">
  <sheetPr codeName="p_Combos"/>
  <dimension ref="A1:AB48"/>
  <sheetViews>
    <sheetView topLeftCell="A4" zoomScaleNormal="100" workbookViewId="0">
      <pane xSplit="6" topLeftCell="V1" activePane="topRight" state="frozen"/>
      <selection activeCell="A4" sqref="A4"/>
      <selection pane="topRight" activeCell="AC5" sqref="AC5:AC48"/>
    </sheetView>
  </sheetViews>
  <sheetFormatPr defaultColWidth="9.140625" defaultRowHeight="15" x14ac:dyDescent="0.25"/>
  <cols>
    <col min="1" max="4" width="9.140625" style="1" hidden="1" customWidth="1"/>
    <col min="5" max="5" width="22.7109375" style="2" bestFit="1" customWidth="1"/>
    <col min="6" max="6" width="20.140625" style="1" bestFit="1" customWidth="1"/>
    <col min="7" max="16384" width="9.140625" style="1"/>
  </cols>
  <sheetData>
    <row r="1" spans="5:28" hidden="1" x14ac:dyDescent="0.25"/>
    <row r="2" spans="5:28" hidden="1" x14ac:dyDescent="0.25">
      <c r="E2" s="1"/>
    </row>
    <row r="3" spans="5:28" hidden="1" x14ac:dyDescent="0.25">
      <c r="E3" s="1"/>
    </row>
    <row r="4" spans="5:28" ht="15.75" thickBot="1" x14ac:dyDescent="0.3">
      <c r="E4" s="9" t="s">
        <v>0</v>
      </c>
      <c r="F4" s="10" t="s">
        <v>1</v>
      </c>
      <c r="G4" s="10" t="s">
        <v>47</v>
      </c>
      <c r="H4" s="10" t="s">
        <v>48</v>
      </c>
      <c r="I4" s="10" t="s">
        <v>49</v>
      </c>
      <c r="J4" s="10" t="s">
        <v>50</v>
      </c>
      <c r="K4" s="10" t="s">
        <v>51</v>
      </c>
      <c r="L4" s="10" t="s">
        <v>52</v>
      </c>
      <c r="M4" s="10" t="s">
        <v>53</v>
      </c>
      <c r="N4" s="10" t="s">
        <v>26</v>
      </c>
      <c r="O4" s="10" t="s">
        <v>19</v>
      </c>
      <c r="P4" s="10" t="s">
        <v>9</v>
      </c>
      <c r="Q4" s="10" t="s">
        <v>10</v>
      </c>
      <c r="R4" s="10" t="s">
        <v>27</v>
      </c>
      <c r="S4" s="10" t="s">
        <v>28</v>
      </c>
      <c r="T4" s="10" t="s">
        <v>25</v>
      </c>
      <c r="U4" s="10" t="s">
        <v>23</v>
      </c>
      <c r="V4" s="10" t="s">
        <v>54</v>
      </c>
      <c r="W4" s="10" t="s">
        <v>21</v>
      </c>
      <c r="X4" s="10" t="s">
        <v>55</v>
      </c>
      <c r="Y4" s="10" t="s">
        <v>31</v>
      </c>
      <c r="Z4" s="10" t="s">
        <v>56</v>
      </c>
      <c r="AA4" s="10" t="s">
        <v>57</v>
      </c>
      <c r="AB4" s="10" t="s">
        <v>58</v>
      </c>
    </row>
    <row r="5" spans="5:28" x14ac:dyDescent="0.25">
      <c r="E5" s="5" t="s">
        <v>6</v>
      </c>
      <c r="F5" s="6" t="s">
        <v>4</v>
      </c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</row>
    <row r="6" spans="5:28" x14ac:dyDescent="0.25">
      <c r="E6" s="3" t="s">
        <v>6</v>
      </c>
      <c r="F6" s="4" t="s">
        <v>5</v>
      </c>
      <c r="G6" s="6"/>
      <c r="H6" s="6">
        <v>1</v>
      </c>
      <c r="I6" s="6"/>
      <c r="J6" s="6">
        <v>1</v>
      </c>
      <c r="K6" s="6">
        <v>1</v>
      </c>
      <c r="L6" s="6">
        <v>1</v>
      </c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>
        <v>1</v>
      </c>
      <c r="AA6" s="6"/>
      <c r="AB6" s="6"/>
    </row>
    <row r="7" spans="5:28" x14ac:dyDescent="0.25">
      <c r="E7" s="3" t="s">
        <v>6</v>
      </c>
      <c r="F7" s="4" t="s">
        <v>141</v>
      </c>
      <c r="G7" s="6"/>
      <c r="H7" s="6"/>
      <c r="I7" s="6"/>
      <c r="J7" s="6">
        <v>1</v>
      </c>
      <c r="K7" s="6"/>
      <c r="L7" s="6"/>
      <c r="M7" s="6"/>
      <c r="N7" s="6"/>
      <c r="O7" s="6"/>
      <c r="P7" s="6">
        <v>1</v>
      </c>
      <c r="Q7" s="6"/>
      <c r="R7" s="6"/>
      <c r="S7" s="6">
        <v>1</v>
      </c>
      <c r="T7" s="6"/>
      <c r="U7" s="6"/>
      <c r="V7" s="6">
        <v>1</v>
      </c>
      <c r="W7" s="6"/>
      <c r="X7" s="6"/>
      <c r="Y7" s="6"/>
      <c r="Z7" s="6"/>
      <c r="AA7" s="6"/>
      <c r="AB7" s="6"/>
    </row>
    <row r="8" spans="5:28" x14ac:dyDescent="0.25">
      <c r="E8" s="11" t="s">
        <v>6</v>
      </c>
      <c r="F8" s="12" t="s">
        <v>7</v>
      </c>
      <c r="G8" s="26"/>
      <c r="H8" s="26"/>
      <c r="I8" s="26"/>
      <c r="J8" s="26"/>
      <c r="K8" s="26"/>
      <c r="L8" s="26">
        <v>1</v>
      </c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</row>
    <row r="9" spans="5:28" ht="15.75" thickBot="1" x14ac:dyDescent="0.3">
      <c r="E9" s="7" t="s">
        <v>6</v>
      </c>
      <c r="F9" s="8" t="s">
        <v>8</v>
      </c>
      <c r="G9" s="8"/>
      <c r="H9" s="8"/>
      <c r="I9" s="8">
        <v>1</v>
      </c>
      <c r="J9" s="8">
        <v>1</v>
      </c>
      <c r="K9" s="8"/>
      <c r="L9" s="8">
        <v>1</v>
      </c>
      <c r="M9" s="8">
        <v>1</v>
      </c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>
        <v>1</v>
      </c>
      <c r="AB9" s="8"/>
    </row>
    <row r="10" spans="5:28" x14ac:dyDescent="0.25">
      <c r="E10" s="5" t="s">
        <v>11</v>
      </c>
      <c r="F10" s="6" t="s">
        <v>9</v>
      </c>
      <c r="G10" s="6"/>
      <c r="H10" s="6"/>
      <c r="I10" s="6"/>
      <c r="J10" s="6"/>
      <c r="K10" s="6"/>
      <c r="L10" s="6"/>
      <c r="M10" s="6"/>
      <c r="N10" s="6"/>
      <c r="O10" s="6"/>
      <c r="P10" s="6">
        <v>1</v>
      </c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</row>
    <row r="11" spans="5:28" x14ac:dyDescent="0.25">
      <c r="E11" s="3" t="s">
        <v>11</v>
      </c>
      <c r="F11" s="4" t="s">
        <v>10</v>
      </c>
      <c r="G11" s="6"/>
      <c r="H11" s="6"/>
      <c r="I11" s="6"/>
      <c r="J11" s="6"/>
      <c r="K11" s="6"/>
      <c r="L11" s="6"/>
      <c r="M11" s="6"/>
      <c r="N11" s="6"/>
      <c r="O11" s="6"/>
      <c r="P11" s="6"/>
      <c r="Q11" s="6">
        <v>1</v>
      </c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</row>
    <row r="12" spans="5:28" x14ac:dyDescent="0.25">
      <c r="E12" s="3" t="s">
        <v>11</v>
      </c>
      <c r="F12" s="4" t="s">
        <v>146</v>
      </c>
      <c r="G12" s="6"/>
      <c r="H12" s="6">
        <v>1</v>
      </c>
      <c r="I12" s="6">
        <v>1</v>
      </c>
      <c r="J12" s="6">
        <v>1</v>
      </c>
      <c r="K12" s="6"/>
      <c r="L12" s="6"/>
      <c r="M12" s="6">
        <v>1</v>
      </c>
      <c r="N12" s="6">
        <v>1</v>
      </c>
      <c r="O12" s="6">
        <v>1</v>
      </c>
      <c r="P12" s="6"/>
      <c r="Q12" s="6"/>
      <c r="R12" s="6"/>
      <c r="S12" s="6">
        <v>1</v>
      </c>
      <c r="T12" s="6">
        <v>1</v>
      </c>
      <c r="U12" s="6"/>
      <c r="V12" s="6"/>
      <c r="W12" s="6">
        <v>1</v>
      </c>
      <c r="X12" s="6">
        <v>1</v>
      </c>
      <c r="Y12" s="6"/>
      <c r="Z12" s="6"/>
      <c r="AA12" s="6"/>
      <c r="AB12" s="6">
        <v>1</v>
      </c>
    </row>
    <row r="13" spans="5:28" x14ac:dyDescent="0.25">
      <c r="E13" s="3" t="s">
        <v>11</v>
      </c>
      <c r="F13" s="4" t="s">
        <v>159</v>
      </c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>
        <v>1</v>
      </c>
      <c r="V13" s="6"/>
      <c r="W13" s="6"/>
      <c r="X13" s="6"/>
      <c r="Y13" s="6"/>
      <c r="Z13" s="6"/>
      <c r="AA13" s="6"/>
      <c r="AB13" s="6"/>
    </row>
    <row r="14" spans="5:28" ht="15" customHeight="1" x14ac:dyDescent="0.25">
      <c r="E14" s="3" t="s">
        <v>11</v>
      </c>
      <c r="F14" s="4" t="s">
        <v>160</v>
      </c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>
        <v>1</v>
      </c>
      <c r="AB14" s="6"/>
    </row>
    <row r="15" spans="5:28" x14ac:dyDescent="0.25">
      <c r="E15" s="3" t="s">
        <v>11</v>
      </c>
      <c r="F15" s="4" t="s">
        <v>145</v>
      </c>
      <c r="G15" s="6"/>
      <c r="H15" s="6">
        <v>1</v>
      </c>
      <c r="I15" s="6"/>
      <c r="J15" s="6">
        <v>1</v>
      </c>
      <c r="K15" s="6">
        <v>1</v>
      </c>
      <c r="L15" s="6"/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/>
      <c r="T15" s="6">
        <v>1</v>
      </c>
      <c r="U15" s="6">
        <v>1</v>
      </c>
      <c r="V15" s="6"/>
      <c r="W15" s="6">
        <v>1</v>
      </c>
      <c r="X15" s="6">
        <v>1</v>
      </c>
      <c r="Y15" s="6"/>
      <c r="Z15" s="6"/>
      <c r="AA15" s="6">
        <v>1</v>
      </c>
      <c r="AB15" s="6">
        <v>1</v>
      </c>
    </row>
    <row r="16" spans="5:28" x14ac:dyDescent="0.25">
      <c r="E16" s="3" t="s">
        <v>11</v>
      </c>
      <c r="F16" s="4" t="s">
        <v>144</v>
      </c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</row>
    <row r="17" spans="5:28" x14ac:dyDescent="0.25">
      <c r="E17" s="3" t="s">
        <v>11</v>
      </c>
      <c r="F17" s="4" t="s">
        <v>143</v>
      </c>
      <c r="G17" s="6"/>
      <c r="H17" s="6"/>
      <c r="I17" s="6"/>
      <c r="J17" s="6"/>
      <c r="K17" s="6">
        <v>1</v>
      </c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</row>
    <row r="18" spans="5:28" x14ac:dyDescent="0.25">
      <c r="E18" s="3" t="s">
        <v>11</v>
      </c>
      <c r="F18" s="4" t="s">
        <v>142</v>
      </c>
      <c r="G18" s="6"/>
      <c r="H18" s="6"/>
      <c r="I18" s="6"/>
      <c r="J18" s="6"/>
      <c r="K18" s="6"/>
      <c r="L18" s="6"/>
      <c r="M18" s="6">
        <v>1</v>
      </c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</row>
    <row r="19" spans="5:28" x14ac:dyDescent="0.25">
      <c r="E19" s="11" t="s">
        <v>11</v>
      </c>
      <c r="F19" s="12" t="s">
        <v>158</v>
      </c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>
        <v>1</v>
      </c>
      <c r="R19" s="26"/>
      <c r="S19" s="26">
        <v>1</v>
      </c>
      <c r="T19" s="26"/>
      <c r="U19" s="26"/>
      <c r="V19" s="26"/>
      <c r="W19" s="26"/>
      <c r="X19" s="26"/>
      <c r="Y19" s="26"/>
      <c r="Z19" s="26"/>
      <c r="AA19" s="26"/>
      <c r="AB19" s="26"/>
    </row>
    <row r="20" spans="5:28" ht="15.75" thickBot="1" x14ac:dyDescent="0.3">
      <c r="E20" s="7" t="s">
        <v>11</v>
      </c>
      <c r="F20" s="8" t="s">
        <v>12</v>
      </c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</row>
    <row r="21" spans="5:28" x14ac:dyDescent="0.25">
      <c r="E21" s="5" t="s">
        <v>14</v>
      </c>
      <c r="F21" s="6" t="s">
        <v>13</v>
      </c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>
        <v>1</v>
      </c>
      <c r="AA21" s="6"/>
      <c r="AB21" s="6"/>
    </row>
    <row r="22" spans="5:28" x14ac:dyDescent="0.25">
      <c r="E22" s="3" t="s">
        <v>14</v>
      </c>
      <c r="F22" s="4" t="s">
        <v>162</v>
      </c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>
        <v>1</v>
      </c>
      <c r="AA22" s="6"/>
      <c r="AB22" s="6"/>
    </row>
    <row r="23" spans="5:28" x14ac:dyDescent="0.25">
      <c r="E23" s="11" t="s">
        <v>14</v>
      </c>
      <c r="F23" s="12" t="s">
        <v>15</v>
      </c>
      <c r="G23" s="26"/>
      <c r="H23" s="26">
        <v>1</v>
      </c>
      <c r="I23" s="26"/>
      <c r="J23" s="26">
        <v>1</v>
      </c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>
        <v>1</v>
      </c>
      <c r="Z23" s="26"/>
      <c r="AA23" s="26"/>
      <c r="AB23" s="26">
        <v>1</v>
      </c>
    </row>
    <row r="24" spans="5:28" ht="15.75" thickBot="1" x14ac:dyDescent="0.3">
      <c r="E24" s="7" t="s">
        <v>14</v>
      </c>
      <c r="F24" s="8" t="s">
        <v>16</v>
      </c>
      <c r="G24" s="8"/>
      <c r="H24" s="8"/>
      <c r="I24" s="8"/>
      <c r="J24" s="8"/>
      <c r="K24" s="8">
        <v>1</v>
      </c>
      <c r="L24" s="8"/>
      <c r="M24" s="8"/>
      <c r="N24" s="8"/>
      <c r="O24" s="8"/>
      <c r="P24" s="8"/>
      <c r="Q24" s="8"/>
      <c r="R24" s="8">
        <v>1</v>
      </c>
      <c r="S24" s="8"/>
      <c r="T24" s="8">
        <v>1</v>
      </c>
      <c r="U24" s="8"/>
      <c r="V24" s="8"/>
      <c r="W24" s="8"/>
      <c r="X24" s="8"/>
      <c r="Y24" s="8"/>
      <c r="Z24" s="8"/>
      <c r="AA24" s="8"/>
      <c r="AB24" s="8"/>
    </row>
    <row r="25" spans="5:28" x14ac:dyDescent="0.25">
      <c r="E25" s="5" t="s">
        <v>24</v>
      </c>
      <c r="F25" s="6" t="s">
        <v>17</v>
      </c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>
        <v>1</v>
      </c>
      <c r="Y25" s="6"/>
      <c r="Z25" s="6"/>
      <c r="AA25" s="6"/>
      <c r="AB25" s="6"/>
    </row>
    <row r="26" spans="5:28" x14ac:dyDescent="0.25">
      <c r="E26" s="3" t="s">
        <v>24</v>
      </c>
      <c r="F26" s="4" t="s">
        <v>18</v>
      </c>
      <c r="G26" s="6"/>
      <c r="H26" s="6"/>
      <c r="I26" s="6">
        <v>1</v>
      </c>
      <c r="J26" s="6">
        <v>1</v>
      </c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</row>
    <row r="27" spans="5:28" x14ac:dyDescent="0.25">
      <c r="E27" s="3" t="s">
        <v>24</v>
      </c>
      <c r="F27" s="4" t="s">
        <v>140</v>
      </c>
      <c r="G27" s="6"/>
      <c r="H27" s="6"/>
      <c r="I27" s="6"/>
      <c r="J27" s="6"/>
      <c r="K27" s="6"/>
      <c r="L27" s="6"/>
      <c r="M27" s="6"/>
      <c r="N27" s="6"/>
      <c r="O27" s="6">
        <v>1</v>
      </c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</row>
    <row r="28" spans="5:28" x14ac:dyDescent="0.25">
      <c r="E28" s="3" t="s">
        <v>24</v>
      </c>
      <c r="F28" s="4" t="s">
        <v>20</v>
      </c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>
        <v>1</v>
      </c>
      <c r="X28" s="6"/>
      <c r="Y28" s="6"/>
      <c r="Z28" s="6"/>
      <c r="AA28" s="6"/>
      <c r="AB28" s="6"/>
    </row>
    <row r="29" spans="5:28" x14ac:dyDescent="0.25">
      <c r="E29" s="3" t="s">
        <v>24</v>
      </c>
      <c r="F29" s="4" t="s">
        <v>157</v>
      </c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>
        <v>1</v>
      </c>
      <c r="X29" s="6"/>
      <c r="Y29" s="6"/>
      <c r="Z29" s="6"/>
      <c r="AA29" s="6"/>
      <c r="AB29" s="6"/>
    </row>
    <row r="30" spans="5:28" x14ac:dyDescent="0.25">
      <c r="E30" s="3" t="s">
        <v>24</v>
      </c>
      <c r="F30" s="4" t="s">
        <v>156</v>
      </c>
      <c r="G30" s="6"/>
      <c r="H30" s="6"/>
      <c r="I30" s="6"/>
      <c r="J30" s="6">
        <v>1</v>
      </c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</row>
    <row r="31" spans="5:28" x14ac:dyDescent="0.25">
      <c r="E31" s="3" t="s">
        <v>24</v>
      </c>
      <c r="F31" s="4" t="s">
        <v>22</v>
      </c>
      <c r="G31" s="6"/>
      <c r="H31" s="6"/>
      <c r="I31" s="6"/>
      <c r="J31" s="6">
        <v>1</v>
      </c>
      <c r="K31" s="6"/>
      <c r="L31" s="6"/>
      <c r="M31" s="6"/>
      <c r="N31" s="6"/>
      <c r="O31" s="6"/>
      <c r="P31" s="6"/>
      <c r="Q31" s="6">
        <v>1</v>
      </c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</row>
    <row r="32" spans="5:28" x14ac:dyDescent="0.25">
      <c r="E32" s="3" t="s">
        <v>24</v>
      </c>
      <c r="F32" s="4" t="s">
        <v>23</v>
      </c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>
        <v>1</v>
      </c>
      <c r="V32" s="6"/>
      <c r="W32" s="6"/>
      <c r="X32" s="6"/>
      <c r="Y32" s="6"/>
      <c r="Z32" s="6"/>
      <c r="AA32" s="6"/>
      <c r="AB32" s="6"/>
    </row>
    <row r="33" spans="5:28" x14ac:dyDescent="0.25">
      <c r="E33" s="3" t="s">
        <v>24</v>
      </c>
      <c r="F33" s="4" t="s">
        <v>161</v>
      </c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>
        <v>1</v>
      </c>
      <c r="W33" s="6"/>
      <c r="X33" s="6"/>
      <c r="Y33" s="6"/>
      <c r="Z33" s="6"/>
      <c r="AA33" s="6"/>
      <c r="AB33" s="6"/>
    </row>
    <row r="34" spans="5:28" x14ac:dyDescent="0.25">
      <c r="E34" s="3" t="s">
        <v>24</v>
      </c>
      <c r="F34" s="4" t="s">
        <v>155</v>
      </c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>
        <v>1</v>
      </c>
      <c r="U34" s="6"/>
      <c r="V34" s="6"/>
      <c r="W34" s="6"/>
      <c r="X34" s="6"/>
      <c r="Y34" s="6"/>
      <c r="Z34" s="6"/>
      <c r="AA34" s="6"/>
      <c r="AB34" s="6"/>
    </row>
    <row r="35" spans="5:28" x14ac:dyDescent="0.25">
      <c r="E35" s="3" t="s">
        <v>24</v>
      </c>
      <c r="F35" s="4" t="s">
        <v>154</v>
      </c>
      <c r="G35" s="6"/>
      <c r="H35" s="6"/>
      <c r="I35" s="6"/>
      <c r="J35" s="6">
        <v>1</v>
      </c>
      <c r="K35" s="6"/>
      <c r="L35" s="6"/>
      <c r="M35" s="6"/>
      <c r="N35" s="6"/>
      <c r="O35" s="6"/>
      <c r="P35" s="6"/>
      <c r="Q35" s="6"/>
      <c r="R35" s="6"/>
      <c r="S35" s="6"/>
      <c r="T35" s="6"/>
      <c r="U35" s="6">
        <v>1</v>
      </c>
      <c r="V35" s="6"/>
      <c r="W35" s="6"/>
      <c r="X35" s="6"/>
      <c r="Y35" s="6">
        <v>1</v>
      </c>
      <c r="Z35" s="6"/>
      <c r="AA35" s="6">
        <v>1</v>
      </c>
      <c r="AB35" s="6"/>
    </row>
    <row r="36" spans="5:28" x14ac:dyDescent="0.25">
      <c r="E36" s="3" t="s">
        <v>24</v>
      </c>
      <c r="F36" s="4" t="s">
        <v>153</v>
      </c>
      <c r="G36" s="6"/>
      <c r="H36" s="6"/>
      <c r="I36" s="6"/>
      <c r="J36" s="6"/>
      <c r="K36" s="6"/>
      <c r="L36" s="6"/>
      <c r="M36" s="6"/>
      <c r="N36" s="6">
        <v>1</v>
      </c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</row>
    <row r="37" spans="5:28" x14ac:dyDescent="0.25">
      <c r="E37" s="3" t="s">
        <v>24</v>
      </c>
      <c r="F37" s="4" t="s">
        <v>27</v>
      </c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>
        <v>1</v>
      </c>
      <c r="S37" s="6"/>
      <c r="T37" s="6"/>
      <c r="U37" s="6"/>
      <c r="V37" s="6"/>
      <c r="W37" s="6"/>
      <c r="X37" s="6"/>
      <c r="Y37" s="6"/>
      <c r="Z37" s="6"/>
      <c r="AA37" s="6"/>
      <c r="AB37" s="6"/>
    </row>
    <row r="38" spans="5:28" x14ac:dyDescent="0.25">
      <c r="E38" s="3" t="s">
        <v>24</v>
      </c>
      <c r="F38" s="4" t="s">
        <v>28</v>
      </c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>
        <v>1</v>
      </c>
      <c r="T38" s="6"/>
      <c r="U38" s="6"/>
      <c r="V38" s="6"/>
      <c r="W38" s="6"/>
      <c r="X38" s="6"/>
      <c r="Y38" s="6"/>
      <c r="Z38" s="6"/>
      <c r="AA38" s="6"/>
      <c r="AB38" s="6"/>
    </row>
    <row r="39" spans="5:28" x14ac:dyDescent="0.25">
      <c r="E39" s="3" t="s">
        <v>24</v>
      </c>
      <c r="F39" s="4" t="s">
        <v>29</v>
      </c>
      <c r="G39" s="6"/>
      <c r="H39" s="6"/>
      <c r="I39" s="6">
        <v>1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</row>
    <row r="40" spans="5:28" x14ac:dyDescent="0.25">
      <c r="E40" s="3" t="s">
        <v>24</v>
      </c>
      <c r="F40" s="4" t="s">
        <v>30</v>
      </c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</row>
    <row r="41" spans="5:28" x14ac:dyDescent="0.25">
      <c r="E41" s="3" t="s">
        <v>24</v>
      </c>
      <c r="F41" s="4" t="s">
        <v>31</v>
      </c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>
        <v>1</v>
      </c>
      <c r="Z41" s="6"/>
      <c r="AA41" s="6"/>
      <c r="AB41" s="6"/>
    </row>
    <row r="42" spans="5:28" ht="15.75" thickBot="1" x14ac:dyDescent="0.3">
      <c r="E42" s="7" t="s">
        <v>24</v>
      </c>
      <c r="F42" s="8" t="s">
        <v>152</v>
      </c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>
        <v>1</v>
      </c>
      <c r="T42" s="8"/>
      <c r="U42" s="8"/>
      <c r="V42" s="8"/>
      <c r="W42" s="8"/>
      <c r="X42" s="8">
        <v>1</v>
      </c>
      <c r="Y42" s="8"/>
      <c r="Z42" s="8"/>
      <c r="AA42" s="8"/>
      <c r="AB42" s="8"/>
    </row>
    <row r="43" spans="5:28" x14ac:dyDescent="0.25">
      <c r="E43" s="3" t="s">
        <v>33</v>
      </c>
      <c r="F43" s="4" t="s">
        <v>32</v>
      </c>
      <c r="G43" s="6"/>
      <c r="H43" s="6"/>
      <c r="I43" s="6"/>
      <c r="J43" s="6"/>
      <c r="K43" s="6"/>
      <c r="L43" s="6">
        <v>1</v>
      </c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>
        <v>1</v>
      </c>
      <c r="AA43" s="6"/>
      <c r="AB43" s="6">
        <v>1</v>
      </c>
    </row>
    <row r="44" spans="5:28" x14ac:dyDescent="0.25">
      <c r="E44" s="3" t="s">
        <v>33</v>
      </c>
      <c r="F44" s="4" t="s">
        <v>148</v>
      </c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>
        <v>1</v>
      </c>
      <c r="AA44" s="6"/>
      <c r="AB44" s="6"/>
    </row>
    <row r="45" spans="5:28" ht="15.75" thickBot="1" x14ac:dyDescent="0.3">
      <c r="E45" s="7" t="s">
        <v>33</v>
      </c>
      <c r="F45" s="8" t="s">
        <v>34</v>
      </c>
      <c r="G45" s="8"/>
      <c r="H45" s="8"/>
      <c r="I45" s="8"/>
      <c r="J45" s="8">
        <v>1</v>
      </c>
      <c r="K45" s="8"/>
      <c r="L45" s="8"/>
      <c r="M45" s="8"/>
      <c r="N45" s="8"/>
      <c r="O45" s="8"/>
      <c r="P45" s="8"/>
      <c r="Q45" s="8"/>
      <c r="R45" s="8">
        <v>1</v>
      </c>
      <c r="S45" s="8"/>
      <c r="T45" s="8"/>
      <c r="U45" s="8"/>
      <c r="V45" s="8"/>
      <c r="W45" s="8"/>
      <c r="X45" s="8"/>
      <c r="Y45" s="8"/>
      <c r="Z45" s="8"/>
      <c r="AA45" s="8"/>
      <c r="AB45" s="8"/>
    </row>
    <row r="46" spans="5:28" x14ac:dyDescent="0.25">
      <c r="E46" s="3" t="s">
        <v>35</v>
      </c>
      <c r="F46" s="4" t="s">
        <v>151</v>
      </c>
      <c r="G46" s="6"/>
      <c r="H46" s="6"/>
      <c r="I46" s="6"/>
      <c r="J46" s="6">
        <v>1</v>
      </c>
      <c r="K46" s="6"/>
      <c r="L46" s="6"/>
      <c r="M46" s="6"/>
      <c r="N46" s="6"/>
      <c r="O46" s="6">
        <v>1</v>
      </c>
      <c r="P46" s="6"/>
      <c r="Q46" s="6">
        <v>1</v>
      </c>
      <c r="R46" s="6"/>
      <c r="S46" s="6"/>
      <c r="T46" s="6"/>
      <c r="U46" s="6">
        <v>1</v>
      </c>
      <c r="V46" s="6"/>
      <c r="W46" s="6">
        <v>1</v>
      </c>
      <c r="X46" s="6">
        <v>1</v>
      </c>
      <c r="Y46" s="6"/>
      <c r="Z46" s="6"/>
      <c r="AA46" s="6"/>
      <c r="AB46" s="6"/>
    </row>
    <row r="47" spans="5:28" x14ac:dyDescent="0.25">
      <c r="E47" s="11" t="s">
        <v>35</v>
      </c>
      <c r="F47" s="12" t="s">
        <v>150</v>
      </c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>
        <v>1</v>
      </c>
      <c r="U47" s="26"/>
      <c r="V47" s="26">
        <v>1</v>
      </c>
      <c r="W47" s="26"/>
      <c r="X47" s="26"/>
      <c r="Y47" s="26"/>
      <c r="Z47" s="26"/>
      <c r="AA47" s="26">
        <v>1</v>
      </c>
      <c r="AB47" s="26">
        <v>1</v>
      </c>
    </row>
    <row r="48" spans="5:28" ht="15.75" thickBot="1" x14ac:dyDescent="0.3">
      <c r="E48" s="7" t="s">
        <v>35</v>
      </c>
      <c r="F48" s="8" t="s">
        <v>149</v>
      </c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>
        <v>1</v>
      </c>
      <c r="S48" s="8"/>
      <c r="T48" s="8"/>
      <c r="U48" s="8"/>
      <c r="V48" s="8"/>
      <c r="W48" s="8"/>
      <c r="X48" s="8"/>
      <c r="Y48" s="8"/>
      <c r="Z48" s="8"/>
      <c r="AA48" s="8"/>
      <c r="AB48" s="8"/>
    </row>
  </sheetData>
  <phoneticPr fontId="2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1D31C-B518-483D-8B3F-D2ADAEDB37F9}">
  <sheetPr codeName="p_CPU"/>
  <dimension ref="B1:O46"/>
  <sheetViews>
    <sheetView showGridLines="0" workbookViewId="0">
      <selection activeCell="L3" sqref="L3"/>
    </sheetView>
  </sheetViews>
  <sheetFormatPr defaultColWidth="9.140625" defaultRowHeight="15" x14ac:dyDescent="0.25"/>
  <cols>
    <col min="1" max="1" width="9.140625" style="1"/>
    <col min="2" max="2" width="12.140625" style="1" customWidth="1"/>
    <col min="3" max="3" width="9.140625" style="1"/>
    <col min="4" max="4" width="21.85546875" style="1" customWidth="1"/>
    <col min="5" max="5" width="9.140625" style="1"/>
    <col min="6" max="6" width="15.5703125" style="1" bestFit="1" customWidth="1"/>
    <col min="7" max="7" width="9.140625" style="1"/>
    <col min="8" max="8" width="21.7109375" style="1" bestFit="1" customWidth="1"/>
    <col min="9" max="9" width="9.140625" style="1"/>
    <col min="10" max="10" width="19.5703125" style="1" bestFit="1" customWidth="1"/>
    <col min="11" max="11" width="9.140625" style="1"/>
    <col min="12" max="12" width="21" style="1" bestFit="1" customWidth="1"/>
    <col min="13" max="13" width="19.85546875" style="1" bestFit="1" customWidth="1"/>
    <col min="14" max="14" width="9.140625" style="1"/>
    <col min="15" max="15" width="20" style="1" bestFit="1" customWidth="1"/>
    <col min="16" max="16384" width="9.140625" style="1"/>
  </cols>
  <sheetData>
    <row r="1" spans="2:15" ht="15.75" thickBot="1" x14ac:dyDescent="0.3"/>
    <row r="2" spans="2:15" ht="15.75" thickBot="1" x14ac:dyDescent="0.3">
      <c r="B2" s="25" t="s">
        <v>59</v>
      </c>
      <c r="D2" s="23" t="s">
        <v>64</v>
      </c>
      <c r="F2" s="23" t="s">
        <v>65</v>
      </c>
      <c r="H2" s="25" t="s">
        <v>43</v>
      </c>
      <c r="J2" s="25" t="s">
        <v>94</v>
      </c>
      <c r="L2" s="20" t="s">
        <v>95</v>
      </c>
      <c r="M2" s="21" t="s">
        <v>139</v>
      </c>
      <c r="O2" s="18" t="s">
        <v>165</v>
      </c>
    </row>
    <row r="3" spans="2:15" x14ac:dyDescent="0.25">
      <c r="B3" s="4" t="s">
        <v>60</v>
      </c>
      <c r="D3" s="17" t="s">
        <v>37</v>
      </c>
      <c r="F3" s="19" t="s">
        <v>47</v>
      </c>
      <c r="H3" s="4" t="s">
        <v>66</v>
      </c>
      <c r="J3" s="4" t="s">
        <v>6</v>
      </c>
      <c r="L3" s="6" t="s">
        <v>96</v>
      </c>
      <c r="M3" s="6" t="s">
        <v>4</v>
      </c>
      <c r="O3" s="4" t="s">
        <v>167</v>
      </c>
    </row>
    <row r="4" spans="2:15" x14ac:dyDescent="0.25">
      <c r="B4" s="4" t="s">
        <v>61</v>
      </c>
      <c r="D4" s="17" t="s">
        <v>38</v>
      </c>
      <c r="F4" s="17" t="s">
        <v>48</v>
      </c>
      <c r="H4" s="4" t="s">
        <v>67</v>
      </c>
      <c r="J4" s="4" t="s">
        <v>11</v>
      </c>
      <c r="L4" s="4" t="s">
        <v>112</v>
      </c>
      <c r="M4" s="4" t="s">
        <v>13</v>
      </c>
      <c r="O4" s="4" t="s">
        <v>43</v>
      </c>
    </row>
    <row r="5" spans="2:15" x14ac:dyDescent="0.25">
      <c r="B5" s="4" t="s">
        <v>62</v>
      </c>
      <c r="D5" s="17" t="s">
        <v>39</v>
      </c>
      <c r="F5" s="17" t="s">
        <v>49</v>
      </c>
      <c r="H5" s="4" t="s">
        <v>68</v>
      </c>
      <c r="J5" s="4" t="s">
        <v>14</v>
      </c>
      <c r="L5" s="4" t="s">
        <v>99</v>
      </c>
      <c r="M5" s="4" t="s">
        <v>5</v>
      </c>
      <c r="O5" s="4" t="s">
        <v>94</v>
      </c>
    </row>
    <row r="6" spans="2:15" x14ac:dyDescent="0.25">
      <c r="B6" s="12" t="s">
        <v>63</v>
      </c>
      <c r="D6" s="17" t="s">
        <v>40</v>
      </c>
      <c r="F6" s="17" t="s">
        <v>50</v>
      </c>
      <c r="H6" s="4" t="s">
        <v>69</v>
      </c>
      <c r="J6" s="4" t="s">
        <v>24</v>
      </c>
      <c r="L6" s="4" t="s">
        <v>130</v>
      </c>
      <c r="M6" s="4" t="s">
        <v>17</v>
      </c>
      <c r="O6" s="4" t="s">
        <v>166</v>
      </c>
    </row>
    <row r="7" spans="2:15" x14ac:dyDescent="0.25">
      <c r="D7" s="24" t="s">
        <v>41</v>
      </c>
      <c r="F7" s="17" t="s">
        <v>51</v>
      </c>
      <c r="H7" s="4" t="s">
        <v>70</v>
      </c>
      <c r="J7" s="4" t="s">
        <v>33</v>
      </c>
      <c r="L7" s="4" t="s">
        <v>108</v>
      </c>
      <c r="M7" s="4" t="s">
        <v>9</v>
      </c>
      <c r="O7" s="4" t="s">
        <v>64</v>
      </c>
    </row>
    <row r="8" spans="2:15" x14ac:dyDescent="0.25">
      <c r="F8" s="17" t="s">
        <v>52</v>
      </c>
      <c r="H8" s="4" t="s">
        <v>71</v>
      </c>
      <c r="J8" s="12" t="s">
        <v>35</v>
      </c>
      <c r="L8" s="4" t="s">
        <v>121</v>
      </c>
      <c r="M8" s="4" t="s">
        <v>29</v>
      </c>
      <c r="O8" s="4" t="s">
        <v>59</v>
      </c>
    </row>
    <row r="9" spans="2:15" x14ac:dyDescent="0.25">
      <c r="F9" s="17" t="s">
        <v>53</v>
      </c>
      <c r="H9" s="4" t="s">
        <v>72</v>
      </c>
      <c r="L9" s="4" t="s">
        <v>107</v>
      </c>
      <c r="M9" s="4" t="s">
        <v>10</v>
      </c>
    </row>
    <row r="10" spans="2:15" x14ac:dyDescent="0.25">
      <c r="F10" s="17" t="s">
        <v>26</v>
      </c>
      <c r="H10" s="4" t="s">
        <v>73</v>
      </c>
      <c r="L10" s="4" t="s">
        <v>115</v>
      </c>
      <c r="M10" s="4" t="s">
        <v>149</v>
      </c>
    </row>
    <row r="11" spans="2:15" x14ac:dyDescent="0.25">
      <c r="F11" s="17" t="s">
        <v>19</v>
      </c>
      <c r="H11" s="4" t="s">
        <v>74</v>
      </c>
      <c r="L11" s="4" t="s">
        <v>117</v>
      </c>
      <c r="M11" s="4" t="s">
        <v>151</v>
      </c>
    </row>
    <row r="12" spans="2:15" x14ac:dyDescent="0.25">
      <c r="F12" s="17" t="s">
        <v>9</v>
      </c>
      <c r="H12" s="4" t="s">
        <v>75</v>
      </c>
      <c r="L12" s="4" t="s">
        <v>116</v>
      </c>
      <c r="M12" s="4" t="s">
        <v>150</v>
      </c>
    </row>
    <row r="13" spans="2:15" x14ac:dyDescent="0.25">
      <c r="F13" s="17" t="s">
        <v>10</v>
      </c>
      <c r="H13" s="4" t="s">
        <v>76</v>
      </c>
      <c r="L13" s="4" t="s">
        <v>133</v>
      </c>
      <c r="M13" s="4" t="s">
        <v>27</v>
      </c>
    </row>
    <row r="14" spans="2:15" x14ac:dyDescent="0.25">
      <c r="F14" s="17" t="s">
        <v>27</v>
      </c>
      <c r="H14" s="4" t="s">
        <v>77</v>
      </c>
      <c r="L14" s="4" t="s">
        <v>98</v>
      </c>
      <c r="M14" s="4" t="s">
        <v>141</v>
      </c>
    </row>
    <row r="15" spans="2:15" x14ac:dyDescent="0.25">
      <c r="F15" s="17" t="s">
        <v>28</v>
      </c>
      <c r="H15" s="4" t="s">
        <v>78</v>
      </c>
      <c r="L15" s="4" t="s">
        <v>137</v>
      </c>
      <c r="M15" s="4" t="s">
        <v>160</v>
      </c>
    </row>
    <row r="16" spans="2:15" x14ac:dyDescent="0.25">
      <c r="F16" s="17" t="s">
        <v>25</v>
      </c>
      <c r="H16" s="4" t="s">
        <v>79</v>
      </c>
      <c r="L16" s="4" t="s">
        <v>126</v>
      </c>
      <c r="M16" s="4" t="s">
        <v>157</v>
      </c>
    </row>
    <row r="17" spans="6:13" x14ac:dyDescent="0.25">
      <c r="F17" s="17" t="s">
        <v>23</v>
      </c>
      <c r="H17" s="4" t="s">
        <v>80</v>
      </c>
      <c r="L17" s="4" t="s">
        <v>129</v>
      </c>
      <c r="M17" s="4" t="s">
        <v>18</v>
      </c>
    </row>
    <row r="18" spans="6:13" x14ac:dyDescent="0.25">
      <c r="F18" s="17" t="s">
        <v>54</v>
      </c>
      <c r="H18" s="4" t="s">
        <v>81</v>
      </c>
      <c r="L18" s="4" t="s">
        <v>111</v>
      </c>
      <c r="M18" s="4" t="s">
        <v>147</v>
      </c>
    </row>
    <row r="19" spans="6:13" x14ac:dyDescent="0.25">
      <c r="F19" s="17" t="s">
        <v>21</v>
      </c>
      <c r="H19" s="4" t="s">
        <v>82</v>
      </c>
      <c r="L19" s="4" t="s">
        <v>125</v>
      </c>
      <c r="M19" s="4" t="s">
        <v>156</v>
      </c>
    </row>
    <row r="20" spans="6:13" x14ac:dyDescent="0.25">
      <c r="F20" s="17" t="s">
        <v>55</v>
      </c>
      <c r="H20" s="4" t="s">
        <v>83</v>
      </c>
      <c r="L20" s="4" t="s">
        <v>110</v>
      </c>
      <c r="M20" s="4" t="s">
        <v>15</v>
      </c>
    </row>
    <row r="21" spans="6:13" x14ac:dyDescent="0.25">
      <c r="F21" s="17" t="s">
        <v>31</v>
      </c>
      <c r="H21" s="4" t="s">
        <v>84</v>
      </c>
      <c r="L21" s="4" t="s">
        <v>136</v>
      </c>
      <c r="M21" s="4" t="s">
        <v>22</v>
      </c>
    </row>
    <row r="22" spans="6:13" x14ac:dyDescent="0.25">
      <c r="F22" s="17" t="s">
        <v>56</v>
      </c>
      <c r="H22" s="4" t="s">
        <v>85</v>
      </c>
      <c r="L22" s="4" t="s">
        <v>128</v>
      </c>
      <c r="M22" s="4" t="s">
        <v>140</v>
      </c>
    </row>
    <row r="23" spans="6:13" x14ac:dyDescent="0.25">
      <c r="F23" s="17" t="s">
        <v>57</v>
      </c>
      <c r="H23" s="4" t="s">
        <v>86</v>
      </c>
      <c r="L23" s="4" t="s">
        <v>119</v>
      </c>
      <c r="M23" s="4" t="s">
        <v>31</v>
      </c>
    </row>
    <row r="24" spans="6:13" x14ac:dyDescent="0.25">
      <c r="F24" s="17" t="s">
        <v>58</v>
      </c>
      <c r="H24" s="4" t="s">
        <v>87</v>
      </c>
      <c r="L24" s="4" t="s">
        <v>106</v>
      </c>
      <c r="M24" s="4" t="s">
        <v>146</v>
      </c>
    </row>
    <row r="25" spans="6:13" x14ac:dyDescent="0.25">
      <c r="H25" s="4" t="s">
        <v>88</v>
      </c>
      <c r="L25" s="4" t="s">
        <v>105</v>
      </c>
      <c r="M25" s="4" t="s">
        <v>145</v>
      </c>
    </row>
    <row r="26" spans="6:13" x14ac:dyDescent="0.25">
      <c r="H26" s="4" t="s">
        <v>89</v>
      </c>
      <c r="L26" s="4" t="s">
        <v>97</v>
      </c>
      <c r="M26" s="4" t="s">
        <v>7</v>
      </c>
    </row>
    <row r="27" spans="6:13" x14ac:dyDescent="0.25">
      <c r="H27" s="4" t="s">
        <v>90</v>
      </c>
      <c r="L27" s="4" t="s">
        <v>114</v>
      </c>
      <c r="M27" s="4" t="s">
        <v>32</v>
      </c>
    </row>
    <row r="28" spans="6:13" x14ac:dyDescent="0.25">
      <c r="H28" s="4" t="s">
        <v>91</v>
      </c>
      <c r="L28" s="4" t="s">
        <v>100</v>
      </c>
      <c r="M28" s="4" t="s">
        <v>8</v>
      </c>
    </row>
    <row r="29" spans="6:13" x14ac:dyDescent="0.25">
      <c r="H29" s="4" t="s">
        <v>92</v>
      </c>
      <c r="L29" s="4" t="s">
        <v>131</v>
      </c>
      <c r="M29" s="4" t="s">
        <v>158</v>
      </c>
    </row>
    <row r="30" spans="6:13" x14ac:dyDescent="0.25">
      <c r="H30" s="12" t="s">
        <v>93</v>
      </c>
      <c r="L30" s="4" t="s">
        <v>104</v>
      </c>
      <c r="M30" s="4" t="s">
        <v>144</v>
      </c>
    </row>
    <row r="31" spans="6:13" x14ac:dyDescent="0.25">
      <c r="L31" s="4" t="s">
        <v>103</v>
      </c>
      <c r="M31" s="4" t="s">
        <v>143</v>
      </c>
    </row>
    <row r="32" spans="6:13" x14ac:dyDescent="0.25">
      <c r="L32" s="4" t="s">
        <v>102</v>
      </c>
      <c r="M32" s="4" t="s">
        <v>142</v>
      </c>
    </row>
    <row r="33" spans="12:13" x14ac:dyDescent="0.25">
      <c r="L33" s="4" t="s">
        <v>134</v>
      </c>
      <c r="M33" s="4" t="s">
        <v>159</v>
      </c>
    </row>
    <row r="34" spans="12:13" x14ac:dyDescent="0.25">
      <c r="L34" s="4" t="s">
        <v>120</v>
      </c>
      <c r="M34" s="4" t="s">
        <v>30</v>
      </c>
    </row>
    <row r="35" spans="12:13" x14ac:dyDescent="0.25">
      <c r="L35" s="4" t="s">
        <v>135</v>
      </c>
      <c r="M35" s="4" t="s">
        <v>23</v>
      </c>
    </row>
    <row r="36" spans="12:13" x14ac:dyDescent="0.25">
      <c r="L36" s="4" t="s">
        <v>124</v>
      </c>
      <c r="M36" s="4" t="s">
        <v>155</v>
      </c>
    </row>
    <row r="37" spans="12:13" x14ac:dyDescent="0.25">
      <c r="L37" s="12" t="s">
        <v>127</v>
      </c>
      <c r="M37" s="12" t="s">
        <v>20</v>
      </c>
    </row>
    <row r="38" spans="12:13" x14ac:dyDescent="0.25">
      <c r="L38" s="12" t="s">
        <v>163</v>
      </c>
      <c r="M38" s="12" t="s">
        <v>34</v>
      </c>
    </row>
    <row r="39" spans="12:13" x14ac:dyDescent="0.25">
      <c r="L39" s="12" t="s">
        <v>118</v>
      </c>
      <c r="M39" s="12" t="s">
        <v>152</v>
      </c>
    </row>
    <row r="40" spans="12:13" x14ac:dyDescent="0.25">
      <c r="L40" s="12" t="s">
        <v>132</v>
      </c>
      <c r="M40" s="12" t="s">
        <v>28</v>
      </c>
    </row>
    <row r="41" spans="12:13" x14ac:dyDescent="0.25">
      <c r="L41" s="12" t="s">
        <v>123</v>
      </c>
      <c r="M41" s="12" t="s">
        <v>154</v>
      </c>
    </row>
    <row r="42" spans="12:13" x14ac:dyDescent="0.25">
      <c r="L42" s="12" t="s">
        <v>122</v>
      </c>
      <c r="M42" s="12" t="s">
        <v>153</v>
      </c>
    </row>
    <row r="43" spans="12:13" x14ac:dyDescent="0.25">
      <c r="L43" s="12" t="s">
        <v>101</v>
      </c>
      <c r="M43" s="12" t="s">
        <v>12</v>
      </c>
    </row>
    <row r="44" spans="12:13" x14ac:dyDescent="0.25">
      <c r="L44" s="12" t="s">
        <v>109</v>
      </c>
      <c r="M44" s="12" t="s">
        <v>16</v>
      </c>
    </row>
    <row r="45" spans="12:13" x14ac:dyDescent="0.25">
      <c r="L45" s="12" t="s">
        <v>138</v>
      </c>
      <c r="M45" s="12" t="s">
        <v>161</v>
      </c>
    </row>
    <row r="46" spans="12:13" x14ac:dyDescent="0.25">
      <c r="L46" s="12" t="s">
        <v>113</v>
      </c>
      <c r="M46" s="12" t="s">
        <v>148</v>
      </c>
    </row>
  </sheetData>
  <sortState xmlns:xlrd2="http://schemas.microsoft.com/office/spreadsheetml/2017/richdata2" ref="O3:O8">
    <sortCondition ref="O3:O8"/>
  </sortState>
  <pageMargins left="0.511811024" right="0.511811024" top="0.78740157499999996" bottom="0.78740157499999996" header="0.31496062000000002" footer="0.31496062000000002"/>
  <tableParts count="6">
    <tablePart r:id="rId1"/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Dados</vt:lpstr>
      <vt:lpstr>DashBoard</vt:lpstr>
      <vt:lpstr>Comandas</vt:lpstr>
      <vt:lpstr>Combos</vt:lpstr>
      <vt:lpstr>CPU</vt:lpstr>
      <vt:lpstr>Adicional</vt:lpstr>
      <vt:lpstr>CATEGORIA</vt:lpstr>
      <vt:lpstr>NComanda</vt:lpstr>
      <vt:lpstr>OBS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Nunes</dc:creator>
  <cp:lastModifiedBy>Felipe Nunes</cp:lastModifiedBy>
  <dcterms:created xsi:type="dcterms:W3CDTF">2021-08-18T17:29:19Z</dcterms:created>
  <dcterms:modified xsi:type="dcterms:W3CDTF">2021-08-28T14:18:47Z</dcterms:modified>
</cp:coreProperties>
</file>